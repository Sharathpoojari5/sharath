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to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F4E78"/>
      <sz val="16"/>
    </font>
    <font>
      <i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dxfs count="3">
    <dxf>
      <fill>
        <patternFill patternType="solid">
          <bgColor rgb="00C6EFCE"/>
        </patternFill>
      </fill>
    </dxf>
    <dxf>
      <fill>
        <patternFill patternType="solid">
          <bgColor rgb="00FFEB9C"/>
        </patternFill>
      </fill>
    </dxf>
    <dxf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Stock / Inventory Tracker</t>
        </is>
      </c>
    </row>
    <row r="3">
      <c r="A3" s="2" t="inlineStr">
        <is>
          <t>1. List each product: SKU, name, opening stock, cost price, selling price and reorder level.</t>
        </is>
      </c>
    </row>
    <row r="4">
      <c r="A4" s="2" t="inlineStr">
        <is>
          <t>2. Update 'Purchased' and 'Sold' as stock moves. Current stock, status and value update automatically.</t>
        </is>
      </c>
    </row>
    <row r="5">
      <c r="A5" s="2" t="inlineStr">
        <is>
          <t>3. Green = OK, Yellow = REORDER NOW, Red = OUT OF STOCK. Total stock value is in cell N2.</t>
        </is>
      </c>
    </row>
    <row r="7">
      <c r="A7" s="3" t="inlineStr">
        <is>
          <t>Yellow cells = you type. Everything else calculates automatically.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1" customWidth="1" min="4" max="4"/>
    <col width="9" customWidth="1" min="5" max="5"/>
    <col width="13" customWidth="1" min="6" max="6"/>
    <col width="13" customWidth="1" min="7" max="7"/>
    <col width="16" customWidth="1" min="8" max="8"/>
    <col width="13" customWidth="1" min="9" max="9"/>
    <col width="15" customWidth="1" min="10" max="10"/>
    <col width="15" customWidth="1" min="11" max="11"/>
    <col width="14" customWidth="1" min="12" max="12"/>
    <col width="22" customWidth="1" min="14" max="14"/>
  </cols>
  <sheetData>
    <row r="1">
      <c r="A1" s="4" t="inlineStr">
        <is>
          <t>SKU</t>
        </is>
      </c>
      <c r="B1" s="4" t="inlineStr">
        <is>
          <t>Item</t>
        </is>
      </c>
      <c r="C1" s="4" t="inlineStr">
        <is>
          <t>Opening stock</t>
        </is>
      </c>
      <c r="D1" s="4" t="inlineStr">
        <is>
          <t>Purchased</t>
        </is>
      </c>
      <c r="E1" s="4" t="inlineStr">
        <is>
          <t>Sold</t>
        </is>
      </c>
      <c r="F1" s="4" t="inlineStr">
        <is>
          <t>Current stock</t>
        </is>
      </c>
      <c r="G1" s="4" t="inlineStr">
        <is>
          <t>Reorder level</t>
        </is>
      </c>
      <c r="H1" s="4" t="inlineStr">
        <is>
          <t>Status</t>
        </is>
      </c>
      <c r="I1" s="4" t="inlineStr">
        <is>
          <t>Cost price (₹)</t>
        </is>
      </c>
      <c r="J1" s="4" t="inlineStr">
        <is>
          <t>Selling price (₹)</t>
        </is>
      </c>
      <c r="K1" s="4" t="inlineStr">
        <is>
          <t>Stock value (₹)</t>
        </is>
      </c>
      <c r="L1" s="4" t="inlineStr">
        <is>
          <t>Profit/unit (₹)</t>
        </is>
      </c>
      <c r="N1" s="5" t="inlineStr">
        <is>
          <t>Total stock value (₹)</t>
        </is>
      </c>
    </row>
    <row r="2">
      <c r="A2" s="6" t="n"/>
      <c r="B2" s="6" t="n"/>
      <c r="C2" s="6" t="n"/>
      <c r="D2" s="6" t="n"/>
      <c r="E2" s="6" t="n"/>
      <c r="F2">
        <f>IF(B2="","",C2+D2-E2)</f>
        <v/>
      </c>
      <c r="G2" s="6" t="n"/>
      <c r="H2">
        <f>IF(B2="","",IF(F2&lt;=0,"OUT OF STOCK",IF(F2&lt;=G2,"REORDER NOW","OK")))</f>
        <v/>
      </c>
      <c r="I2" s="6" t="n"/>
      <c r="J2" s="6" t="n"/>
      <c r="K2">
        <f>IF(B2="","",F2*I2)</f>
        <v/>
      </c>
      <c r="L2">
        <f>IF(B2="","",J2-I2)</f>
        <v/>
      </c>
      <c r="N2">
        <f>SUM(K2:K301)</f>
        <v/>
      </c>
    </row>
    <row r="3">
      <c r="A3" s="6" t="n"/>
      <c r="B3" s="6" t="n"/>
      <c r="C3" s="6" t="n"/>
      <c r="D3" s="6" t="n"/>
      <c r="E3" s="6" t="n"/>
      <c r="F3">
        <f>IF(B3="","",C3+D3-E3)</f>
        <v/>
      </c>
      <c r="G3" s="6" t="n"/>
      <c r="H3">
        <f>IF(B3="","",IF(F3&lt;=0,"OUT OF STOCK",IF(F3&lt;=G3,"REORDER NOW","OK")))</f>
        <v/>
      </c>
      <c r="I3" s="6" t="n"/>
      <c r="J3" s="6" t="n"/>
      <c r="K3">
        <f>IF(B3="","",F3*I3)</f>
        <v/>
      </c>
      <c r="L3">
        <f>IF(B3="","",J3-I3)</f>
        <v/>
      </c>
    </row>
    <row r="4">
      <c r="A4" s="6" t="n"/>
      <c r="B4" s="6" t="n"/>
      <c r="C4" s="6" t="n"/>
      <c r="D4" s="6" t="n"/>
      <c r="E4" s="6" t="n"/>
      <c r="F4">
        <f>IF(B4="","",C4+D4-E4)</f>
        <v/>
      </c>
      <c r="G4" s="6" t="n"/>
      <c r="H4">
        <f>IF(B4="","",IF(F4&lt;=0,"OUT OF STOCK",IF(F4&lt;=G4,"REORDER NOW","OK")))</f>
        <v/>
      </c>
      <c r="I4" s="6" t="n"/>
      <c r="J4" s="6" t="n"/>
      <c r="K4">
        <f>IF(B4="","",F4*I4)</f>
        <v/>
      </c>
      <c r="L4">
        <f>IF(B4="","",J4-I4)</f>
        <v/>
      </c>
      <c r="N4" s="5" t="inlineStr">
        <is>
          <t>Items to reorder</t>
        </is>
      </c>
    </row>
    <row r="5">
      <c r="A5" s="6" t="n"/>
      <c r="B5" s="6" t="n"/>
      <c r="C5" s="6" t="n"/>
      <c r="D5" s="6" t="n"/>
      <c r="E5" s="6" t="n"/>
      <c r="F5">
        <f>IF(B5="","",C5+D5-E5)</f>
        <v/>
      </c>
      <c r="G5" s="6" t="n"/>
      <c r="H5">
        <f>IF(B5="","",IF(F5&lt;=0,"OUT OF STOCK",IF(F5&lt;=G5,"REORDER NOW","OK")))</f>
        <v/>
      </c>
      <c r="I5" s="6" t="n"/>
      <c r="J5" s="6" t="n"/>
      <c r="K5">
        <f>IF(B5="","",F5*I5)</f>
        <v/>
      </c>
      <c r="L5">
        <f>IF(B5="","",J5-I5)</f>
        <v/>
      </c>
      <c r="N5">
        <f>COUNTIF(H2:H301,"REORDER NOW")+COUNTIF(H2:H301,"OUT OF STOCK")</f>
        <v/>
      </c>
    </row>
    <row r="6">
      <c r="A6" s="6" t="n"/>
      <c r="B6" s="6" t="n"/>
      <c r="C6" s="6" t="n"/>
      <c r="D6" s="6" t="n"/>
      <c r="E6" s="6" t="n"/>
      <c r="F6">
        <f>IF(B6="","",C6+D6-E6)</f>
        <v/>
      </c>
      <c r="G6" s="6" t="n"/>
      <c r="H6">
        <f>IF(B6="","",IF(F6&lt;=0,"OUT OF STOCK",IF(F6&lt;=G6,"REORDER NOW","OK")))</f>
        <v/>
      </c>
      <c r="I6" s="6" t="n"/>
      <c r="J6" s="6" t="n"/>
      <c r="K6">
        <f>IF(B6="","",F6*I6)</f>
        <v/>
      </c>
      <c r="L6">
        <f>IF(B6="","",J6-I6)</f>
        <v/>
      </c>
    </row>
    <row r="7">
      <c r="A7" s="6" t="n"/>
      <c r="B7" s="6" t="n"/>
      <c r="C7" s="6" t="n"/>
      <c r="D7" s="6" t="n"/>
      <c r="E7" s="6" t="n"/>
      <c r="F7">
        <f>IF(B7="","",C7+D7-E7)</f>
        <v/>
      </c>
      <c r="G7" s="6" t="n"/>
      <c r="H7">
        <f>IF(B7="","",IF(F7&lt;=0,"OUT OF STOCK",IF(F7&lt;=G7,"REORDER NOW","OK")))</f>
        <v/>
      </c>
      <c r="I7" s="6" t="n"/>
      <c r="J7" s="6" t="n"/>
      <c r="K7">
        <f>IF(B7="","",F7*I7)</f>
        <v/>
      </c>
      <c r="L7">
        <f>IF(B7="","",J7-I7)</f>
        <v/>
      </c>
    </row>
    <row r="8">
      <c r="A8" s="6" t="n"/>
      <c r="B8" s="6" t="n"/>
      <c r="C8" s="6" t="n"/>
      <c r="D8" s="6" t="n"/>
      <c r="E8" s="6" t="n"/>
      <c r="F8">
        <f>IF(B8="","",C8+D8-E8)</f>
        <v/>
      </c>
      <c r="G8" s="6" t="n"/>
      <c r="H8">
        <f>IF(B8="","",IF(F8&lt;=0,"OUT OF STOCK",IF(F8&lt;=G8,"REORDER NOW","OK")))</f>
        <v/>
      </c>
      <c r="I8" s="6" t="n"/>
      <c r="J8" s="6" t="n"/>
      <c r="K8">
        <f>IF(B8="","",F8*I8)</f>
        <v/>
      </c>
      <c r="L8">
        <f>IF(B8="","",J8-I8)</f>
        <v/>
      </c>
    </row>
    <row r="9">
      <c r="A9" s="6" t="n"/>
      <c r="B9" s="6" t="n"/>
      <c r="C9" s="6" t="n"/>
      <c r="D9" s="6" t="n"/>
      <c r="E9" s="6" t="n"/>
      <c r="F9">
        <f>IF(B9="","",C9+D9-E9)</f>
        <v/>
      </c>
      <c r="G9" s="6" t="n"/>
      <c r="H9">
        <f>IF(B9="","",IF(F9&lt;=0,"OUT OF STOCK",IF(F9&lt;=G9,"REORDER NOW","OK")))</f>
        <v/>
      </c>
      <c r="I9" s="6" t="n"/>
      <c r="J9" s="6" t="n"/>
      <c r="K9">
        <f>IF(B9="","",F9*I9)</f>
        <v/>
      </c>
      <c r="L9">
        <f>IF(B9="","",J9-I9)</f>
        <v/>
      </c>
    </row>
    <row r="10">
      <c r="A10" s="6" t="n"/>
      <c r="B10" s="6" t="n"/>
      <c r="C10" s="6" t="n"/>
      <c r="D10" s="6" t="n"/>
      <c r="E10" s="6" t="n"/>
      <c r="F10">
        <f>IF(B10="","",C10+D10-E10)</f>
        <v/>
      </c>
      <c r="G10" s="6" t="n"/>
      <c r="H10">
        <f>IF(B10="","",IF(F10&lt;=0,"OUT OF STOCK",IF(F10&lt;=G10,"REORDER NOW","OK")))</f>
        <v/>
      </c>
      <c r="I10" s="6" t="n"/>
      <c r="J10" s="6" t="n"/>
      <c r="K10">
        <f>IF(B10="","",F10*I10)</f>
        <v/>
      </c>
      <c r="L10">
        <f>IF(B10="","",J10-I10)</f>
        <v/>
      </c>
    </row>
    <row r="11">
      <c r="A11" s="6" t="n"/>
      <c r="B11" s="6" t="n"/>
      <c r="C11" s="6" t="n"/>
      <c r="D11" s="6" t="n"/>
      <c r="E11" s="6" t="n"/>
      <c r="F11">
        <f>IF(B11="","",C11+D11-E11)</f>
        <v/>
      </c>
      <c r="G11" s="6" t="n"/>
      <c r="H11">
        <f>IF(B11="","",IF(F11&lt;=0,"OUT OF STOCK",IF(F11&lt;=G11,"REORDER NOW","OK")))</f>
        <v/>
      </c>
      <c r="I11" s="6" t="n"/>
      <c r="J11" s="6" t="n"/>
      <c r="K11">
        <f>IF(B11="","",F11*I11)</f>
        <v/>
      </c>
      <c r="L11">
        <f>IF(B11="","",J11-I11)</f>
        <v/>
      </c>
    </row>
    <row r="12">
      <c r="A12" s="6" t="n"/>
      <c r="B12" s="6" t="n"/>
      <c r="C12" s="6" t="n"/>
      <c r="D12" s="6" t="n"/>
      <c r="E12" s="6" t="n"/>
      <c r="F12">
        <f>IF(B12="","",C12+D12-E12)</f>
        <v/>
      </c>
      <c r="G12" s="6" t="n"/>
      <c r="H12">
        <f>IF(B12="","",IF(F12&lt;=0,"OUT OF STOCK",IF(F12&lt;=G12,"REORDER NOW","OK")))</f>
        <v/>
      </c>
      <c r="I12" s="6" t="n"/>
      <c r="J12" s="6" t="n"/>
      <c r="K12">
        <f>IF(B12="","",F12*I12)</f>
        <v/>
      </c>
      <c r="L12">
        <f>IF(B12="","",J12-I12)</f>
        <v/>
      </c>
    </row>
    <row r="13">
      <c r="A13" s="6" t="n"/>
      <c r="B13" s="6" t="n"/>
      <c r="C13" s="6" t="n"/>
      <c r="D13" s="6" t="n"/>
      <c r="E13" s="6" t="n"/>
      <c r="F13">
        <f>IF(B13="","",C13+D13-E13)</f>
        <v/>
      </c>
      <c r="G13" s="6" t="n"/>
      <c r="H13">
        <f>IF(B13="","",IF(F13&lt;=0,"OUT OF STOCK",IF(F13&lt;=G13,"REORDER NOW","OK")))</f>
        <v/>
      </c>
      <c r="I13" s="6" t="n"/>
      <c r="J13" s="6" t="n"/>
      <c r="K13">
        <f>IF(B13="","",F13*I13)</f>
        <v/>
      </c>
      <c r="L13">
        <f>IF(B13="","",J13-I13)</f>
        <v/>
      </c>
    </row>
    <row r="14">
      <c r="A14" s="6" t="n"/>
      <c r="B14" s="6" t="n"/>
      <c r="C14" s="6" t="n"/>
      <c r="D14" s="6" t="n"/>
      <c r="E14" s="6" t="n"/>
      <c r="F14">
        <f>IF(B14="","",C14+D14-E14)</f>
        <v/>
      </c>
      <c r="G14" s="6" t="n"/>
      <c r="H14">
        <f>IF(B14="","",IF(F14&lt;=0,"OUT OF STOCK",IF(F14&lt;=G14,"REORDER NOW","OK")))</f>
        <v/>
      </c>
      <c r="I14" s="6" t="n"/>
      <c r="J14" s="6" t="n"/>
      <c r="K14">
        <f>IF(B14="","",F14*I14)</f>
        <v/>
      </c>
      <c r="L14">
        <f>IF(B14="","",J14-I14)</f>
        <v/>
      </c>
    </row>
    <row r="15">
      <c r="A15" s="6" t="n"/>
      <c r="B15" s="6" t="n"/>
      <c r="C15" s="6" t="n"/>
      <c r="D15" s="6" t="n"/>
      <c r="E15" s="6" t="n"/>
      <c r="F15">
        <f>IF(B15="","",C15+D15-E15)</f>
        <v/>
      </c>
      <c r="G15" s="6" t="n"/>
      <c r="H15">
        <f>IF(B15="","",IF(F15&lt;=0,"OUT OF STOCK",IF(F15&lt;=G15,"REORDER NOW","OK")))</f>
        <v/>
      </c>
      <c r="I15" s="6" t="n"/>
      <c r="J15" s="6" t="n"/>
      <c r="K15">
        <f>IF(B15="","",F15*I15)</f>
        <v/>
      </c>
      <c r="L15">
        <f>IF(B15="","",J15-I15)</f>
        <v/>
      </c>
    </row>
    <row r="16">
      <c r="A16" s="6" t="n"/>
      <c r="B16" s="6" t="n"/>
      <c r="C16" s="6" t="n"/>
      <c r="D16" s="6" t="n"/>
      <c r="E16" s="6" t="n"/>
      <c r="F16">
        <f>IF(B16="","",C16+D16-E16)</f>
        <v/>
      </c>
      <c r="G16" s="6" t="n"/>
      <c r="H16">
        <f>IF(B16="","",IF(F16&lt;=0,"OUT OF STOCK",IF(F16&lt;=G16,"REORDER NOW","OK")))</f>
        <v/>
      </c>
      <c r="I16" s="6" t="n"/>
      <c r="J16" s="6" t="n"/>
      <c r="K16">
        <f>IF(B16="","",F16*I16)</f>
        <v/>
      </c>
      <c r="L16">
        <f>IF(B16="","",J16-I16)</f>
        <v/>
      </c>
    </row>
    <row r="17">
      <c r="A17" s="6" t="n"/>
      <c r="B17" s="6" t="n"/>
      <c r="C17" s="6" t="n"/>
      <c r="D17" s="6" t="n"/>
      <c r="E17" s="6" t="n"/>
      <c r="F17">
        <f>IF(B17="","",C17+D17-E17)</f>
        <v/>
      </c>
      <c r="G17" s="6" t="n"/>
      <c r="H17">
        <f>IF(B17="","",IF(F17&lt;=0,"OUT OF STOCK",IF(F17&lt;=G17,"REORDER NOW","OK")))</f>
        <v/>
      </c>
      <c r="I17" s="6" t="n"/>
      <c r="J17" s="6" t="n"/>
      <c r="K17">
        <f>IF(B17="","",F17*I17)</f>
        <v/>
      </c>
      <c r="L17">
        <f>IF(B17="","",J17-I17)</f>
        <v/>
      </c>
    </row>
    <row r="18">
      <c r="A18" s="6" t="n"/>
      <c r="B18" s="6" t="n"/>
      <c r="C18" s="6" t="n"/>
      <c r="D18" s="6" t="n"/>
      <c r="E18" s="6" t="n"/>
      <c r="F18">
        <f>IF(B18="","",C18+D18-E18)</f>
        <v/>
      </c>
      <c r="G18" s="6" t="n"/>
      <c r="H18">
        <f>IF(B18="","",IF(F18&lt;=0,"OUT OF STOCK",IF(F18&lt;=G18,"REORDER NOW","OK")))</f>
        <v/>
      </c>
      <c r="I18" s="6" t="n"/>
      <c r="J18" s="6" t="n"/>
      <c r="K18">
        <f>IF(B18="","",F18*I18)</f>
        <v/>
      </c>
      <c r="L18">
        <f>IF(B18="","",J18-I18)</f>
        <v/>
      </c>
    </row>
    <row r="19">
      <c r="A19" s="6" t="n"/>
      <c r="B19" s="6" t="n"/>
      <c r="C19" s="6" t="n"/>
      <c r="D19" s="6" t="n"/>
      <c r="E19" s="6" t="n"/>
      <c r="F19">
        <f>IF(B19="","",C19+D19-E19)</f>
        <v/>
      </c>
      <c r="G19" s="6" t="n"/>
      <c r="H19">
        <f>IF(B19="","",IF(F19&lt;=0,"OUT OF STOCK",IF(F19&lt;=G19,"REORDER NOW","OK")))</f>
        <v/>
      </c>
      <c r="I19" s="6" t="n"/>
      <c r="J19" s="6" t="n"/>
      <c r="K19">
        <f>IF(B19="","",F19*I19)</f>
        <v/>
      </c>
      <c r="L19">
        <f>IF(B19="","",J19-I19)</f>
        <v/>
      </c>
    </row>
    <row r="20">
      <c r="A20" s="6" t="n"/>
      <c r="B20" s="6" t="n"/>
      <c r="C20" s="6" t="n"/>
      <c r="D20" s="6" t="n"/>
      <c r="E20" s="6" t="n"/>
      <c r="F20">
        <f>IF(B20="","",C20+D20-E20)</f>
        <v/>
      </c>
      <c r="G20" s="6" t="n"/>
      <c r="H20">
        <f>IF(B20="","",IF(F20&lt;=0,"OUT OF STOCK",IF(F20&lt;=G20,"REORDER NOW","OK")))</f>
        <v/>
      </c>
      <c r="I20" s="6" t="n"/>
      <c r="J20" s="6" t="n"/>
      <c r="K20">
        <f>IF(B20="","",F20*I20)</f>
        <v/>
      </c>
      <c r="L20">
        <f>IF(B20="","",J20-I20)</f>
        <v/>
      </c>
    </row>
    <row r="21">
      <c r="A21" s="6" t="n"/>
      <c r="B21" s="6" t="n"/>
      <c r="C21" s="6" t="n"/>
      <c r="D21" s="6" t="n"/>
      <c r="E21" s="6" t="n"/>
      <c r="F21">
        <f>IF(B21="","",C21+D21-E21)</f>
        <v/>
      </c>
      <c r="G21" s="6" t="n"/>
      <c r="H21">
        <f>IF(B21="","",IF(F21&lt;=0,"OUT OF STOCK",IF(F21&lt;=G21,"REORDER NOW","OK")))</f>
        <v/>
      </c>
      <c r="I21" s="6" t="n"/>
      <c r="J21" s="6" t="n"/>
      <c r="K21">
        <f>IF(B21="","",F21*I21)</f>
        <v/>
      </c>
      <c r="L21">
        <f>IF(B21="","",J21-I21)</f>
        <v/>
      </c>
    </row>
    <row r="22">
      <c r="A22" s="6" t="n"/>
      <c r="B22" s="6" t="n"/>
      <c r="C22" s="6" t="n"/>
      <c r="D22" s="6" t="n"/>
      <c r="E22" s="6" t="n"/>
      <c r="F22">
        <f>IF(B22="","",C22+D22-E22)</f>
        <v/>
      </c>
      <c r="G22" s="6" t="n"/>
      <c r="H22">
        <f>IF(B22="","",IF(F22&lt;=0,"OUT OF STOCK",IF(F22&lt;=G22,"REORDER NOW","OK")))</f>
        <v/>
      </c>
      <c r="I22" s="6" t="n"/>
      <c r="J22" s="6" t="n"/>
      <c r="K22">
        <f>IF(B22="","",F22*I22)</f>
        <v/>
      </c>
      <c r="L22">
        <f>IF(B22="","",J22-I22)</f>
        <v/>
      </c>
    </row>
    <row r="23">
      <c r="A23" s="6" t="n"/>
      <c r="B23" s="6" t="n"/>
      <c r="C23" s="6" t="n"/>
      <c r="D23" s="6" t="n"/>
      <c r="E23" s="6" t="n"/>
      <c r="F23">
        <f>IF(B23="","",C23+D23-E23)</f>
        <v/>
      </c>
      <c r="G23" s="6" t="n"/>
      <c r="H23">
        <f>IF(B23="","",IF(F23&lt;=0,"OUT OF STOCK",IF(F23&lt;=G23,"REORDER NOW","OK")))</f>
        <v/>
      </c>
      <c r="I23" s="6" t="n"/>
      <c r="J23" s="6" t="n"/>
      <c r="K23">
        <f>IF(B23="","",F23*I23)</f>
        <v/>
      </c>
      <c r="L23">
        <f>IF(B23="","",J23-I23)</f>
        <v/>
      </c>
    </row>
    <row r="24">
      <c r="A24" s="6" t="n"/>
      <c r="B24" s="6" t="n"/>
      <c r="C24" s="6" t="n"/>
      <c r="D24" s="6" t="n"/>
      <c r="E24" s="6" t="n"/>
      <c r="F24">
        <f>IF(B24="","",C24+D24-E24)</f>
        <v/>
      </c>
      <c r="G24" s="6" t="n"/>
      <c r="H24">
        <f>IF(B24="","",IF(F24&lt;=0,"OUT OF STOCK",IF(F24&lt;=G24,"REORDER NOW","OK")))</f>
        <v/>
      </c>
      <c r="I24" s="6" t="n"/>
      <c r="J24" s="6" t="n"/>
      <c r="K24">
        <f>IF(B24="","",F24*I24)</f>
        <v/>
      </c>
      <c r="L24">
        <f>IF(B24="","",J24-I24)</f>
        <v/>
      </c>
    </row>
    <row r="25">
      <c r="A25" s="6" t="n"/>
      <c r="B25" s="6" t="n"/>
      <c r="C25" s="6" t="n"/>
      <c r="D25" s="6" t="n"/>
      <c r="E25" s="6" t="n"/>
      <c r="F25">
        <f>IF(B25="","",C25+D25-E25)</f>
        <v/>
      </c>
      <c r="G25" s="6" t="n"/>
      <c r="H25">
        <f>IF(B25="","",IF(F25&lt;=0,"OUT OF STOCK",IF(F25&lt;=G25,"REORDER NOW","OK")))</f>
        <v/>
      </c>
      <c r="I25" s="6" t="n"/>
      <c r="J25" s="6" t="n"/>
      <c r="K25">
        <f>IF(B25="","",F25*I25)</f>
        <v/>
      </c>
      <c r="L25">
        <f>IF(B25="","",J25-I25)</f>
        <v/>
      </c>
    </row>
    <row r="26">
      <c r="A26" s="6" t="n"/>
      <c r="B26" s="6" t="n"/>
      <c r="C26" s="6" t="n"/>
      <c r="D26" s="6" t="n"/>
      <c r="E26" s="6" t="n"/>
      <c r="F26">
        <f>IF(B26="","",C26+D26-E26)</f>
        <v/>
      </c>
      <c r="G26" s="6" t="n"/>
      <c r="H26">
        <f>IF(B26="","",IF(F26&lt;=0,"OUT OF STOCK",IF(F26&lt;=G26,"REORDER NOW","OK")))</f>
        <v/>
      </c>
      <c r="I26" s="6" t="n"/>
      <c r="J26" s="6" t="n"/>
      <c r="K26">
        <f>IF(B26="","",F26*I26)</f>
        <v/>
      </c>
      <c r="L26">
        <f>IF(B26="","",J26-I26)</f>
        <v/>
      </c>
    </row>
    <row r="27">
      <c r="A27" s="6" t="n"/>
      <c r="B27" s="6" t="n"/>
      <c r="C27" s="6" t="n"/>
      <c r="D27" s="6" t="n"/>
      <c r="E27" s="6" t="n"/>
      <c r="F27">
        <f>IF(B27="","",C27+D27-E27)</f>
        <v/>
      </c>
      <c r="G27" s="6" t="n"/>
      <c r="H27">
        <f>IF(B27="","",IF(F27&lt;=0,"OUT OF STOCK",IF(F27&lt;=G27,"REORDER NOW","OK")))</f>
        <v/>
      </c>
      <c r="I27" s="6" t="n"/>
      <c r="J27" s="6" t="n"/>
      <c r="K27">
        <f>IF(B27="","",F27*I27)</f>
        <v/>
      </c>
      <c r="L27">
        <f>IF(B27="","",J27-I27)</f>
        <v/>
      </c>
    </row>
    <row r="28">
      <c r="A28" s="6" t="n"/>
      <c r="B28" s="6" t="n"/>
      <c r="C28" s="6" t="n"/>
      <c r="D28" s="6" t="n"/>
      <c r="E28" s="6" t="n"/>
      <c r="F28">
        <f>IF(B28="","",C28+D28-E28)</f>
        <v/>
      </c>
      <c r="G28" s="6" t="n"/>
      <c r="H28">
        <f>IF(B28="","",IF(F28&lt;=0,"OUT OF STOCK",IF(F28&lt;=G28,"REORDER NOW","OK")))</f>
        <v/>
      </c>
      <c r="I28" s="6" t="n"/>
      <c r="J28" s="6" t="n"/>
      <c r="K28">
        <f>IF(B28="","",F28*I28)</f>
        <v/>
      </c>
      <c r="L28">
        <f>IF(B28="","",J28-I28)</f>
        <v/>
      </c>
    </row>
    <row r="29">
      <c r="A29" s="6" t="n"/>
      <c r="B29" s="6" t="n"/>
      <c r="C29" s="6" t="n"/>
      <c r="D29" s="6" t="n"/>
      <c r="E29" s="6" t="n"/>
      <c r="F29">
        <f>IF(B29="","",C29+D29-E29)</f>
        <v/>
      </c>
      <c r="G29" s="6" t="n"/>
      <c r="H29">
        <f>IF(B29="","",IF(F29&lt;=0,"OUT OF STOCK",IF(F29&lt;=G29,"REORDER NOW","OK")))</f>
        <v/>
      </c>
      <c r="I29" s="6" t="n"/>
      <c r="J29" s="6" t="n"/>
      <c r="K29">
        <f>IF(B29="","",F29*I29)</f>
        <v/>
      </c>
      <c r="L29">
        <f>IF(B29="","",J29-I29)</f>
        <v/>
      </c>
    </row>
    <row r="30">
      <c r="A30" s="6" t="n"/>
      <c r="B30" s="6" t="n"/>
      <c r="C30" s="6" t="n"/>
      <c r="D30" s="6" t="n"/>
      <c r="E30" s="6" t="n"/>
      <c r="F30">
        <f>IF(B30="","",C30+D30-E30)</f>
        <v/>
      </c>
      <c r="G30" s="6" t="n"/>
      <c r="H30">
        <f>IF(B30="","",IF(F30&lt;=0,"OUT OF STOCK",IF(F30&lt;=G30,"REORDER NOW","OK")))</f>
        <v/>
      </c>
      <c r="I30" s="6" t="n"/>
      <c r="J30" s="6" t="n"/>
      <c r="K30">
        <f>IF(B30="","",F30*I30)</f>
        <v/>
      </c>
      <c r="L30">
        <f>IF(B30="","",J30-I30)</f>
        <v/>
      </c>
    </row>
    <row r="31">
      <c r="A31" s="6" t="n"/>
      <c r="B31" s="6" t="n"/>
      <c r="C31" s="6" t="n"/>
      <c r="D31" s="6" t="n"/>
      <c r="E31" s="6" t="n"/>
      <c r="F31">
        <f>IF(B31="","",C31+D31-E31)</f>
        <v/>
      </c>
      <c r="G31" s="6" t="n"/>
      <c r="H31">
        <f>IF(B31="","",IF(F31&lt;=0,"OUT OF STOCK",IF(F31&lt;=G31,"REORDER NOW","OK")))</f>
        <v/>
      </c>
      <c r="I31" s="6" t="n"/>
      <c r="J31" s="6" t="n"/>
      <c r="K31">
        <f>IF(B31="","",F31*I31)</f>
        <v/>
      </c>
      <c r="L31">
        <f>IF(B31="","",J31-I31)</f>
        <v/>
      </c>
    </row>
    <row r="32">
      <c r="A32" s="6" t="n"/>
      <c r="B32" s="6" t="n"/>
      <c r="C32" s="6" t="n"/>
      <c r="D32" s="6" t="n"/>
      <c r="E32" s="6" t="n"/>
      <c r="F32">
        <f>IF(B32="","",C32+D32-E32)</f>
        <v/>
      </c>
      <c r="G32" s="6" t="n"/>
      <c r="H32">
        <f>IF(B32="","",IF(F32&lt;=0,"OUT OF STOCK",IF(F32&lt;=G32,"REORDER NOW","OK")))</f>
        <v/>
      </c>
      <c r="I32" s="6" t="n"/>
      <c r="J32" s="6" t="n"/>
      <c r="K32">
        <f>IF(B32="","",F32*I32)</f>
        <v/>
      </c>
      <c r="L32">
        <f>IF(B32="","",J32-I32)</f>
        <v/>
      </c>
    </row>
    <row r="33">
      <c r="A33" s="6" t="n"/>
      <c r="B33" s="6" t="n"/>
      <c r="C33" s="6" t="n"/>
      <c r="D33" s="6" t="n"/>
      <c r="E33" s="6" t="n"/>
      <c r="F33">
        <f>IF(B33="","",C33+D33-E33)</f>
        <v/>
      </c>
      <c r="G33" s="6" t="n"/>
      <c r="H33">
        <f>IF(B33="","",IF(F33&lt;=0,"OUT OF STOCK",IF(F33&lt;=G33,"REORDER NOW","OK")))</f>
        <v/>
      </c>
      <c r="I33" s="6" t="n"/>
      <c r="J33" s="6" t="n"/>
      <c r="K33">
        <f>IF(B33="","",F33*I33)</f>
        <v/>
      </c>
      <c r="L33">
        <f>IF(B33="","",J33-I33)</f>
        <v/>
      </c>
    </row>
    <row r="34">
      <c r="A34" s="6" t="n"/>
      <c r="B34" s="6" t="n"/>
      <c r="C34" s="6" t="n"/>
      <c r="D34" s="6" t="n"/>
      <c r="E34" s="6" t="n"/>
      <c r="F34">
        <f>IF(B34="","",C34+D34-E34)</f>
        <v/>
      </c>
      <c r="G34" s="6" t="n"/>
      <c r="H34">
        <f>IF(B34="","",IF(F34&lt;=0,"OUT OF STOCK",IF(F34&lt;=G34,"REORDER NOW","OK")))</f>
        <v/>
      </c>
      <c r="I34" s="6" t="n"/>
      <c r="J34" s="6" t="n"/>
      <c r="K34">
        <f>IF(B34="","",F34*I34)</f>
        <v/>
      </c>
      <c r="L34">
        <f>IF(B34="","",J34-I34)</f>
        <v/>
      </c>
    </row>
    <row r="35">
      <c r="A35" s="6" t="n"/>
      <c r="B35" s="6" t="n"/>
      <c r="C35" s="6" t="n"/>
      <c r="D35" s="6" t="n"/>
      <c r="E35" s="6" t="n"/>
      <c r="F35">
        <f>IF(B35="","",C35+D35-E35)</f>
        <v/>
      </c>
      <c r="G35" s="6" t="n"/>
      <c r="H35">
        <f>IF(B35="","",IF(F35&lt;=0,"OUT OF STOCK",IF(F35&lt;=G35,"REORDER NOW","OK")))</f>
        <v/>
      </c>
      <c r="I35" s="6" t="n"/>
      <c r="J35" s="6" t="n"/>
      <c r="K35">
        <f>IF(B35="","",F35*I35)</f>
        <v/>
      </c>
      <c r="L35">
        <f>IF(B35="","",J35-I35)</f>
        <v/>
      </c>
    </row>
    <row r="36">
      <c r="A36" s="6" t="n"/>
      <c r="B36" s="6" t="n"/>
      <c r="C36" s="6" t="n"/>
      <c r="D36" s="6" t="n"/>
      <c r="E36" s="6" t="n"/>
      <c r="F36">
        <f>IF(B36="","",C36+D36-E36)</f>
        <v/>
      </c>
      <c r="G36" s="6" t="n"/>
      <c r="H36">
        <f>IF(B36="","",IF(F36&lt;=0,"OUT OF STOCK",IF(F36&lt;=G36,"REORDER NOW","OK")))</f>
        <v/>
      </c>
      <c r="I36" s="6" t="n"/>
      <c r="J36" s="6" t="n"/>
      <c r="K36">
        <f>IF(B36="","",F36*I36)</f>
        <v/>
      </c>
      <c r="L36">
        <f>IF(B36="","",J36-I36)</f>
        <v/>
      </c>
    </row>
    <row r="37">
      <c r="A37" s="6" t="n"/>
      <c r="B37" s="6" t="n"/>
      <c r="C37" s="6" t="n"/>
      <c r="D37" s="6" t="n"/>
      <c r="E37" s="6" t="n"/>
      <c r="F37">
        <f>IF(B37="","",C37+D37-E37)</f>
        <v/>
      </c>
      <c r="G37" s="6" t="n"/>
      <c r="H37">
        <f>IF(B37="","",IF(F37&lt;=0,"OUT OF STOCK",IF(F37&lt;=G37,"REORDER NOW","OK")))</f>
        <v/>
      </c>
      <c r="I37" s="6" t="n"/>
      <c r="J37" s="6" t="n"/>
      <c r="K37">
        <f>IF(B37="","",F37*I37)</f>
        <v/>
      </c>
      <c r="L37">
        <f>IF(B37="","",J37-I37)</f>
        <v/>
      </c>
    </row>
    <row r="38">
      <c r="A38" s="6" t="n"/>
      <c r="B38" s="6" t="n"/>
      <c r="C38" s="6" t="n"/>
      <c r="D38" s="6" t="n"/>
      <c r="E38" s="6" t="n"/>
      <c r="F38">
        <f>IF(B38="","",C38+D38-E38)</f>
        <v/>
      </c>
      <c r="G38" s="6" t="n"/>
      <c r="H38">
        <f>IF(B38="","",IF(F38&lt;=0,"OUT OF STOCK",IF(F38&lt;=G38,"REORDER NOW","OK")))</f>
        <v/>
      </c>
      <c r="I38" s="6" t="n"/>
      <c r="J38" s="6" t="n"/>
      <c r="K38">
        <f>IF(B38="","",F38*I38)</f>
        <v/>
      </c>
      <c r="L38">
        <f>IF(B38="","",J38-I38)</f>
        <v/>
      </c>
    </row>
    <row r="39">
      <c r="A39" s="6" t="n"/>
      <c r="B39" s="6" t="n"/>
      <c r="C39" s="6" t="n"/>
      <c r="D39" s="6" t="n"/>
      <c r="E39" s="6" t="n"/>
      <c r="F39">
        <f>IF(B39="","",C39+D39-E39)</f>
        <v/>
      </c>
      <c r="G39" s="6" t="n"/>
      <c r="H39">
        <f>IF(B39="","",IF(F39&lt;=0,"OUT OF STOCK",IF(F39&lt;=G39,"REORDER NOW","OK")))</f>
        <v/>
      </c>
      <c r="I39" s="6" t="n"/>
      <c r="J39" s="6" t="n"/>
      <c r="K39">
        <f>IF(B39="","",F39*I39)</f>
        <v/>
      </c>
      <c r="L39">
        <f>IF(B39="","",J39-I39)</f>
        <v/>
      </c>
    </row>
    <row r="40">
      <c r="A40" s="6" t="n"/>
      <c r="B40" s="6" t="n"/>
      <c r="C40" s="6" t="n"/>
      <c r="D40" s="6" t="n"/>
      <c r="E40" s="6" t="n"/>
      <c r="F40">
        <f>IF(B40="","",C40+D40-E40)</f>
        <v/>
      </c>
      <c r="G40" s="6" t="n"/>
      <c r="H40">
        <f>IF(B40="","",IF(F40&lt;=0,"OUT OF STOCK",IF(F40&lt;=G40,"REORDER NOW","OK")))</f>
        <v/>
      </c>
      <c r="I40" s="6" t="n"/>
      <c r="J40" s="6" t="n"/>
      <c r="K40">
        <f>IF(B40="","",F40*I40)</f>
        <v/>
      </c>
      <c r="L40">
        <f>IF(B40="","",J40-I40)</f>
        <v/>
      </c>
    </row>
    <row r="41">
      <c r="A41" s="6" t="n"/>
      <c r="B41" s="6" t="n"/>
      <c r="C41" s="6" t="n"/>
      <c r="D41" s="6" t="n"/>
      <c r="E41" s="6" t="n"/>
      <c r="F41">
        <f>IF(B41="","",C41+D41-E41)</f>
        <v/>
      </c>
      <c r="G41" s="6" t="n"/>
      <c r="H41">
        <f>IF(B41="","",IF(F41&lt;=0,"OUT OF STOCK",IF(F41&lt;=G41,"REORDER NOW","OK")))</f>
        <v/>
      </c>
      <c r="I41" s="6" t="n"/>
      <c r="J41" s="6" t="n"/>
      <c r="K41">
        <f>IF(B41="","",F41*I41)</f>
        <v/>
      </c>
      <c r="L41">
        <f>IF(B41="","",J41-I41)</f>
        <v/>
      </c>
    </row>
    <row r="42">
      <c r="A42" s="6" t="n"/>
      <c r="B42" s="6" t="n"/>
      <c r="C42" s="6" t="n"/>
      <c r="D42" s="6" t="n"/>
      <c r="E42" s="6" t="n"/>
      <c r="F42">
        <f>IF(B42="","",C42+D42-E42)</f>
        <v/>
      </c>
      <c r="G42" s="6" t="n"/>
      <c r="H42">
        <f>IF(B42="","",IF(F42&lt;=0,"OUT OF STOCK",IF(F42&lt;=G42,"REORDER NOW","OK")))</f>
        <v/>
      </c>
      <c r="I42" s="6" t="n"/>
      <c r="J42" s="6" t="n"/>
      <c r="K42">
        <f>IF(B42="","",F42*I42)</f>
        <v/>
      </c>
      <c r="L42">
        <f>IF(B42="","",J42-I42)</f>
        <v/>
      </c>
    </row>
    <row r="43">
      <c r="A43" s="6" t="n"/>
      <c r="B43" s="6" t="n"/>
      <c r="C43" s="6" t="n"/>
      <c r="D43" s="6" t="n"/>
      <c r="E43" s="6" t="n"/>
      <c r="F43">
        <f>IF(B43="","",C43+D43-E43)</f>
        <v/>
      </c>
      <c r="G43" s="6" t="n"/>
      <c r="H43">
        <f>IF(B43="","",IF(F43&lt;=0,"OUT OF STOCK",IF(F43&lt;=G43,"REORDER NOW","OK")))</f>
        <v/>
      </c>
      <c r="I43" s="6" t="n"/>
      <c r="J43" s="6" t="n"/>
      <c r="K43">
        <f>IF(B43="","",F43*I43)</f>
        <v/>
      </c>
      <c r="L43">
        <f>IF(B43="","",J43-I43)</f>
        <v/>
      </c>
    </row>
    <row r="44">
      <c r="A44" s="6" t="n"/>
      <c r="B44" s="6" t="n"/>
      <c r="C44" s="6" t="n"/>
      <c r="D44" s="6" t="n"/>
      <c r="E44" s="6" t="n"/>
      <c r="F44">
        <f>IF(B44="","",C44+D44-E44)</f>
        <v/>
      </c>
      <c r="G44" s="6" t="n"/>
      <c r="H44">
        <f>IF(B44="","",IF(F44&lt;=0,"OUT OF STOCK",IF(F44&lt;=G44,"REORDER NOW","OK")))</f>
        <v/>
      </c>
      <c r="I44" s="6" t="n"/>
      <c r="J44" s="6" t="n"/>
      <c r="K44">
        <f>IF(B44="","",F44*I44)</f>
        <v/>
      </c>
      <c r="L44">
        <f>IF(B44="","",J44-I44)</f>
        <v/>
      </c>
    </row>
    <row r="45">
      <c r="A45" s="6" t="n"/>
      <c r="B45" s="6" t="n"/>
      <c r="C45" s="6" t="n"/>
      <c r="D45" s="6" t="n"/>
      <c r="E45" s="6" t="n"/>
      <c r="F45">
        <f>IF(B45="","",C45+D45-E45)</f>
        <v/>
      </c>
      <c r="G45" s="6" t="n"/>
      <c r="H45">
        <f>IF(B45="","",IF(F45&lt;=0,"OUT OF STOCK",IF(F45&lt;=G45,"REORDER NOW","OK")))</f>
        <v/>
      </c>
      <c r="I45" s="6" t="n"/>
      <c r="J45" s="6" t="n"/>
      <c r="K45">
        <f>IF(B45="","",F45*I45)</f>
        <v/>
      </c>
      <c r="L45">
        <f>IF(B45="","",J45-I45)</f>
        <v/>
      </c>
    </row>
    <row r="46">
      <c r="A46" s="6" t="n"/>
      <c r="B46" s="6" t="n"/>
      <c r="C46" s="6" t="n"/>
      <c r="D46" s="6" t="n"/>
      <c r="E46" s="6" t="n"/>
      <c r="F46">
        <f>IF(B46="","",C46+D46-E46)</f>
        <v/>
      </c>
      <c r="G46" s="6" t="n"/>
      <c r="H46">
        <f>IF(B46="","",IF(F46&lt;=0,"OUT OF STOCK",IF(F46&lt;=G46,"REORDER NOW","OK")))</f>
        <v/>
      </c>
      <c r="I46" s="6" t="n"/>
      <c r="J46" s="6" t="n"/>
      <c r="K46">
        <f>IF(B46="","",F46*I46)</f>
        <v/>
      </c>
      <c r="L46">
        <f>IF(B46="","",J46-I46)</f>
        <v/>
      </c>
    </row>
    <row r="47">
      <c r="A47" s="6" t="n"/>
      <c r="B47" s="6" t="n"/>
      <c r="C47" s="6" t="n"/>
      <c r="D47" s="6" t="n"/>
      <c r="E47" s="6" t="n"/>
      <c r="F47">
        <f>IF(B47="","",C47+D47-E47)</f>
        <v/>
      </c>
      <c r="G47" s="6" t="n"/>
      <c r="H47">
        <f>IF(B47="","",IF(F47&lt;=0,"OUT OF STOCK",IF(F47&lt;=G47,"REORDER NOW","OK")))</f>
        <v/>
      </c>
      <c r="I47" s="6" t="n"/>
      <c r="J47" s="6" t="n"/>
      <c r="K47">
        <f>IF(B47="","",F47*I47)</f>
        <v/>
      </c>
      <c r="L47">
        <f>IF(B47="","",J47-I47)</f>
        <v/>
      </c>
    </row>
    <row r="48">
      <c r="A48" s="6" t="n"/>
      <c r="B48" s="6" t="n"/>
      <c r="C48" s="6" t="n"/>
      <c r="D48" s="6" t="n"/>
      <c r="E48" s="6" t="n"/>
      <c r="F48">
        <f>IF(B48="","",C48+D48-E48)</f>
        <v/>
      </c>
      <c r="G48" s="6" t="n"/>
      <c r="H48">
        <f>IF(B48="","",IF(F48&lt;=0,"OUT OF STOCK",IF(F48&lt;=G48,"REORDER NOW","OK")))</f>
        <v/>
      </c>
      <c r="I48" s="6" t="n"/>
      <c r="J48" s="6" t="n"/>
      <c r="K48">
        <f>IF(B48="","",F48*I48)</f>
        <v/>
      </c>
      <c r="L48">
        <f>IF(B48="","",J48-I48)</f>
        <v/>
      </c>
    </row>
    <row r="49">
      <c r="A49" s="6" t="n"/>
      <c r="B49" s="6" t="n"/>
      <c r="C49" s="6" t="n"/>
      <c r="D49" s="6" t="n"/>
      <c r="E49" s="6" t="n"/>
      <c r="F49">
        <f>IF(B49="","",C49+D49-E49)</f>
        <v/>
      </c>
      <c r="G49" s="6" t="n"/>
      <c r="H49">
        <f>IF(B49="","",IF(F49&lt;=0,"OUT OF STOCK",IF(F49&lt;=G49,"REORDER NOW","OK")))</f>
        <v/>
      </c>
      <c r="I49" s="6" t="n"/>
      <c r="J49" s="6" t="n"/>
      <c r="K49">
        <f>IF(B49="","",F49*I49)</f>
        <v/>
      </c>
      <c r="L49">
        <f>IF(B49="","",J49-I49)</f>
        <v/>
      </c>
    </row>
    <row r="50">
      <c r="A50" s="6" t="n"/>
      <c r="B50" s="6" t="n"/>
      <c r="C50" s="6" t="n"/>
      <c r="D50" s="6" t="n"/>
      <c r="E50" s="6" t="n"/>
      <c r="F50">
        <f>IF(B50="","",C50+D50-E50)</f>
        <v/>
      </c>
      <c r="G50" s="6" t="n"/>
      <c r="H50">
        <f>IF(B50="","",IF(F50&lt;=0,"OUT OF STOCK",IF(F50&lt;=G50,"REORDER NOW","OK")))</f>
        <v/>
      </c>
      <c r="I50" s="6" t="n"/>
      <c r="J50" s="6" t="n"/>
      <c r="K50">
        <f>IF(B50="","",F50*I50)</f>
        <v/>
      </c>
      <c r="L50">
        <f>IF(B50="","",J50-I50)</f>
        <v/>
      </c>
    </row>
    <row r="51">
      <c r="A51" s="6" t="n"/>
      <c r="B51" s="6" t="n"/>
      <c r="C51" s="6" t="n"/>
      <c r="D51" s="6" t="n"/>
      <c r="E51" s="6" t="n"/>
      <c r="F51">
        <f>IF(B51="","",C51+D51-E51)</f>
        <v/>
      </c>
      <c r="G51" s="6" t="n"/>
      <c r="H51">
        <f>IF(B51="","",IF(F51&lt;=0,"OUT OF STOCK",IF(F51&lt;=G51,"REORDER NOW","OK")))</f>
        <v/>
      </c>
      <c r="I51" s="6" t="n"/>
      <c r="J51" s="6" t="n"/>
      <c r="K51">
        <f>IF(B51="","",F51*I51)</f>
        <v/>
      </c>
      <c r="L51">
        <f>IF(B51="","",J51-I51)</f>
        <v/>
      </c>
    </row>
    <row r="52">
      <c r="A52" s="6" t="n"/>
      <c r="B52" s="6" t="n"/>
      <c r="C52" s="6" t="n"/>
      <c r="D52" s="6" t="n"/>
      <c r="E52" s="6" t="n"/>
      <c r="F52">
        <f>IF(B52="","",C52+D52-E52)</f>
        <v/>
      </c>
      <c r="G52" s="6" t="n"/>
      <c r="H52">
        <f>IF(B52="","",IF(F52&lt;=0,"OUT OF STOCK",IF(F52&lt;=G52,"REORDER NOW","OK")))</f>
        <v/>
      </c>
      <c r="I52" s="6" t="n"/>
      <c r="J52" s="6" t="n"/>
      <c r="K52">
        <f>IF(B52="","",F52*I52)</f>
        <v/>
      </c>
      <c r="L52">
        <f>IF(B52="","",J52-I52)</f>
        <v/>
      </c>
    </row>
    <row r="53">
      <c r="A53" s="6" t="n"/>
      <c r="B53" s="6" t="n"/>
      <c r="C53" s="6" t="n"/>
      <c r="D53" s="6" t="n"/>
      <c r="E53" s="6" t="n"/>
      <c r="F53">
        <f>IF(B53="","",C53+D53-E53)</f>
        <v/>
      </c>
      <c r="G53" s="6" t="n"/>
      <c r="H53">
        <f>IF(B53="","",IF(F53&lt;=0,"OUT OF STOCK",IF(F53&lt;=G53,"REORDER NOW","OK")))</f>
        <v/>
      </c>
      <c r="I53" s="6" t="n"/>
      <c r="J53" s="6" t="n"/>
      <c r="K53">
        <f>IF(B53="","",F53*I53)</f>
        <v/>
      </c>
      <c r="L53">
        <f>IF(B53="","",J53-I53)</f>
        <v/>
      </c>
    </row>
    <row r="54">
      <c r="A54" s="6" t="n"/>
      <c r="B54" s="6" t="n"/>
      <c r="C54" s="6" t="n"/>
      <c r="D54" s="6" t="n"/>
      <c r="E54" s="6" t="n"/>
      <c r="F54">
        <f>IF(B54="","",C54+D54-E54)</f>
        <v/>
      </c>
      <c r="G54" s="6" t="n"/>
      <c r="H54">
        <f>IF(B54="","",IF(F54&lt;=0,"OUT OF STOCK",IF(F54&lt;=G54,"REORDER NOW","OK")))</f>
        <v/>
      </c>
      <c r="I54" s="6" t="n"/>
      <c r="J54" s="6" t="n"/>
      <c r="K54">
        <f>IF(B54="","",F54*I54)</f>
        <v/>
      </c>
      <c r="L54">
        <f>IF(B54="","",J54-I54)</f>
        <v/>
      </c>
    </row>
    <row r="55">
      <c r="A55" s="6" t="n"/>
      <c r="B55" s="6" t="n"/>
      <c r="C55" s="6" t="n"/>
      <c r="D55" s="6" t="n"/>
      <c r="E55" s="6" t="n"/>
      <c r="F55">
        <f>IF(B55="","",C55+D55-E55)</f>
        <v/>
      </c>
      <c r="G55" s="6" t="n"/>
      <c r="H55">
        <f>IF(B55="","",IF(F55&lt;=0,"OUT OF STOCK",IF(F55&lt;=G55,"REORDER NOW","OK")))</f>
        <v/>
      </c>
      <c r="I55" s="6" t="n"/>
      <c r="J55" s="6" t="n"/>
      <c r="K55">
        <f>IF(B55="","",F55*I55)</f>
        <v/>
      </c>
      <c r="L55">
        <f>IF(B55="","",J55-I55)</f>
        <v/>
      </c>
    </row>
    <row r="56">
      <c r="A56" s="6" t="n"/>
      <c r="B56" s="6" t="n"/>
      <c r="C56" s="6" t="n"/>
      <c r="D56" s="6" t="n"/>
      <c r="E56" s="6" t="n"/>
      <c r="F56">
        <f>IF(B56="","",C56+D56-E56)</f>
        <v/>
      </c>
      <c r="G56" s="6" t="n"/>
      <c r="H56">
        <f>IF(B56="","",IF(F56&lt;=0,"OUT OF STOCK",IF(F56&lt;=G56,"REORDER NOW","OK")))</f>
        <v/>
      </c>
      <c r="I56" s="6" t="n"/>
      <c r="J56" s="6" t="n"/>
      <c r="K56">
        <f>IF(B56="","",F56*I56)</f>
        <v/>
      </c>
      <c r="L56">
        <f>IF(B56="","",J56-I56)</f>
        <v/>
      </c>
    </row>
    <row r="57">
      <c r="A57" s="6" t="n"/>
      <c r="B57" s="6" t="n"/>
      <c r="C57" s="6" t="n"/>
      <c r="D57" s="6" t="n"/>
      <c r="E57" s="6" t="n"/>
      <c r="F57">
        <f>IF(B57="","",C57+D57-E57)</f>
        <v/>
      </c>
      <c r="G57" s="6" t="n"/>
      <c r="H57">
        <f>IF(B57="","",IF(F57&lt;=0,"OUT OF STOCK",IF(F57&lt;=G57,"REORDER NOW","OK")))</f>
        <v/>
      </c>
      <c r="I57" s="6" t="n"/>
      <c r="J57" s="6" t="n"/>
      <c r="K57">
        <f>IF(B57="","",F57*I57)</f>
        <v/>
      </c>
      <c r="L57">
        <f>IF(B57="","",J57-I57)</f>
        <v/>
      </c>
    </row>
    <row r="58">
      <c r="A58" s="6" t="n"/>
      <c r="B58" s="6" t="n"/>
      <c r="C58" s="6" t="n"/>
      <c r="D58" s="6" t="n"/>
      <c r="E58" s="6" t="n"/>
      <c r="F58">
        <f>IF(B58="","",C58+D58-E58)</f>
        <v/>
      </c>
      <c r="G58" s="6" t="n"/>
      <c r="H58">
        <f>IF(B58="","",IF(F58&lt;=0,"OUT OF STOCK",IF(F58&lt;=G58,"REORDER NOW","OK")))</f>
        <v/>
      </c>
      <c r="I58" s="6" t="n"/>
      <c r="J58" s="6" t="n"/>
      <c r="K58">
        <f>IF(B58="","",F58*I58)</f>
        <v/>
      </c>
      <c r="L58">
        <f>IF(B58="","",J58-I58)</f>
        <v/>
      </c>
    </row>
    <row r="59">
      <c r="A59" s="6" t="n"/>
      <c r="B59" s="6" t="n"/>
      <c r="C59" s="6" t="n"/>
      <c r="D59" s="6" t="n"/>
      <c r="E59" s="6" t="n"/>
      <c r="F59">
        <f>IF(B59="","",C59+D59-E59)</f>
        <v/>
      </c>
      <c r="G59" s="6" t="n"/>
      <c r="H59">
        <f>IF(B59="","",IF(F59&lt;=0,"OUT OF STOCK",IF(F59&lt;=G59,"REORDER NOW","OK")))</f>
        <v/>
      </c>
      <c r="I59" s="6" t="n"/>
      <c r="J59" s="6" t="n"/>
      <c r="K59">
        <f>IF(B59="","",F59*I59)</f>
        <v/>
      </c>
      <c r="L59">
        <f>IF(B59="","",J59-I59)</f>
        <v/>
      </c>
    </row>
    <row r="60">
      <c r="A60" s="6" t="n"/>
      <c r="B60" s="6" t="n"/>
      <c r="C60" s="6" t="n"/>
      <c r="D60" s="6" t="n"/>
      <c r="E60" s="6" t="n"/>
      <c r="F60">
        <f>IF(B60="","",C60+D60-E60)</f>
        <v/>
      </c>
      <c r="G60" s="6" t="n"/>
      <c r="H60">
        <f>IF(B60="","",IF(F60&lt;=0,"OUT OF STOCK",IF(F60&lt;=G60,"REORDER NOW","OK")))</f>
        <v/>
      </c>
      <c r="I60" s="6" t="n"/>
      <c r="J60" s="6" t="n"/>
      <c r="K60">
        <f>IF(B60="","",F60*I60)</f>
        <v/>
      </c>
      <c r="L60">
        <f>IF(B60="","",J60-I60)</f>
        <v/>
      </c>
    </row>
    <row r="61">
      <c r="A61" s="6" t="n"/>
      <c r="B61" s="6" t="n"/>
      <c r="C61" s="6" t="n"/>
      <c r="D61" s="6" t="n"/>
      <c r="E61" s="6" t="n"/>
      <c r="F61">
        <f>IF(B61="","",C61+D61-E61)</f>
        <v/>
      </c>
      <c r="G61" s="6" t="n"/>
      <c r="H61">
        <f>IF(B61="","",IF(F61&lt;=0,"OUT OF STOCK",IF(F61&lt;=G61,"REORDER NOW","OK")))</f>
        <v/>
      </c>
      <c r="I61" s="6" t="n"/>
      <c r="J61" s="6" t="n"/>
      <c r="K61">
        <f>IF(B61="","",F61*I61)</f>
        <v/>
      </c>
      <c r="L61">
        <f>IF(B61="","",J61-I61)</f>
        <v/>
      </c>
    </row>
    <row r="62">
      <c r="A62" s="6" t="n"/>
      <c r="B62" s="6" t="n"/>
      <c r="C62" s="6" t="n"/>
      <c r="D62" s="6" t="n"/>
      <c r="E62" s="6" t="n"/>
      <c r="F62">
        <f>IF(B62="","",C62+D62-E62)</f>
        <v/>
      </c>
      <c r="G62" s="6" t="n"/>
      <c r="H62">
        <f>IF(B62="","",IF(F62&lt;=0,"OUT OF STOCK",IF(F62&lt;=G62,"REORDER NOW","OK")))</f>
        <v/>
      </c>
      <c r="I62" s="6" t="n"/>
      <c r="J62" s="6" t="n"/>
      <c r="K62">
        <f>IF(B62="","",F62*I62)</f>
        <v/>
      </c>
      <c r="L62">
        <f>IF(B62="","",J62-I62)</f>
        <v/>
      </c>
    </row>
    <row r="63">
      <c r="A63" s="6" t="n"/>
      <c r="B63" s="6" t="n"/>
      <c r="C63" s="6" t="n"/>
      <c r="D63" s="6" t="n"/>
      <c r="E63" s="6" t="n"/>
      <c r="F63">
        <f>IF(B63="","",C63+D63-E63)</f>
        <v/>
      </c>
      <c r="G63" s="6" t="n"/>
      <c r="H63">
        <f>IF(B63="","",IF(F63&lt;=0,"OUT OF STOCK",IF(F63&lt;=G63,"REORDER NOW","OK")))</f>
        <v/>
      </c>
      <c r="I63" s="6" t="n"/>
      <c r="J63" s="6" t="n"/>
      <c r="K63">
        <f>IF(B63="","",F63*I63)</f>
        <v/>
      </c>
      <c r="L63">
        <f>IF(B63="","",J63-I63)</f>
        <v/>
      </c>
    </row>
    <row r="64">
      <c r="A64" s="6" t="n"/>
      <c r="B64" s="6" t="n"/>
      <c r="C64" s="6" t="n"/>
      <c r="D64" s="6" t="n"/>
      <c r="E64" s="6" t="n"/>
      <c r="F64">
        <f>IF(B64="","",C64+D64-E64)</f>
        <v/>
      </c>
      <c r="G64" s="6" t="n"/>
      <c r="H64">
        <f>IF(B64="","",IF(F64&lt;=0,"OUT OF STOCK",IF(F64&lt;=G64,"REORDER NOW","OK")))</f>
        <v/>
      </c>
      <c r="I64" s="6" t="n"/>
      <c r="J64" s="6" t="n"/>
      <c r="K64">
        <f>IF(B64="","",F64*I64)</f>
        <v/>
      </c>
      <c r="L64">
        <f>IF(B64="","",J64-I64)</f>
        <v/>
      </c>
    </row>
    <row r="65">
      <c r="A65" s="6" t="n"/>
      <c r="B65" s="6" t="n"/>
      <c r="C65" s="6" t="n"/>
      <c r="D65" s="6" t="n"/>
      <c r="E65" s="6" t="n"/>
      <c r="F65">
        <f>IF(B65="","",C65+D65-E65)</f>
        <v/>
      </c>
      <c r="G65" s="6" t="n"/>
      <c r="H65">
        <f>IF(B65="","",IF(F65&lt;=0,"OUT OF STOCK",IF(F65&lt;=G65,"REORDER NOW","OK")))</f>
        <v/>
      </c>
      <c r="I65" s="6" t="n"/>
      <c r="J65" s="6" t="n"/>
      <c r="K65">
        <f>IF(B65="","",F65*I65)</f>
        <v/>
      </c>
      <c r="L65">
        <f>IF(B65="","",J65-I65)</f>
        <v/>
      </c>
    </row>
    <row r="66">
      <c r="A66" s="6" t="n"/>
      <c r="B66" s="6" t="n"/>
      <c r="C66" s="6" t="n"/>
      <c r="D66" s="6" t="n"/>
      <c r="E66" s="6" t="n"/>
      <c r="F66">
        <f>IF(B66="","",C66+D66-E66)</f>
        <v/>
      </c>
      <c r="G66" s="6" t="n"/>
      <c r="H66">
        <f>IF(B66="","",IF(F66&lt;=0,"OUT OF STOCK",IF(F66&lt;=G66,"REORDER NOW","OK")))</f>
        <v/>
      </c>
      <c r="I66" s="6" t="n"/>
      <c r="J66" s="6" t="n"/>
      <c r="K66">
        <f>IF(B66="","",F66*I66)</f>
        <v/>
      </c>
      <c r="L66">
        <f>IF(B66="","",J66-I66)</f>
        <v/>
      </c>
    </row>
    <row r="67">
      <c r="A67" s="6" t="n"/>
      <c r="B67" s="6" t="n"/>
      <c r="C67" s="6" t="n"/>
      <c r="D67" s="6" t="n"/>
      <c r="E67" s="6" t="n"/>
      <c r="F67">
        <f>IF(B67="","",C67+D67-E67)</f>
        <v/>
      </c>
      <c r="G67" s="6" t="n"/>
      <c r="H67">
        <f>IF(B67="","",IF(F67&lt;=0,"OUT OF STOCK",IF(F67&lt;=G67,"REORDER NOW","OK")))</f>
        <v/>
      </c>
      <c r="I67" s="6" t="n"/>
      <c r="J67" s="6" t="n"/>
      <c r="K67">
        <f>IF(B67="","",F67*I67)</f>
        <v/>
      </c>
      <c r="L67">
        <f>IF(B67="","",J67-I67)</f>
        <v/>
      </c>
    </row>
    <row r="68">
      <c r="A68" s="6" t="n"/>
      <c r="B68" s="6" t="n"/>
      <c r="C68" s="6" t="n"/>
      <c r="D68" s="6" t="n"/>
      <c r="E68" s="6" t="n"/>
      <c r="F68">
        <f>IF(B68="","",C68+D68-E68)</f>
        <v/>
      </c>
      <c r="G68" s="6" t="n"/>
      <c r="H68">
        <f>IF(B68="","",IF(F68&lt;=0,"OUT OF STOCK",IF(F68&lt;=G68,"REORDER NOW","OK")))</f>
        <v/>
      </c>
      <c r="I68" s="6" t="n"/>
      <c r="J68" s="6" t="n"/>
      <c r="K68">
        <f>IF(B68="","",F68*I68)</f>
        <v/>
      </c>
      <c r="L68">
        <f>IF(B68="","",J68-I68)</f>
        <v/>
      </c>
    </row>
    <row r="69">
      <c r="A69" s="6" t="n"/>
      <c r="B69" s="6" t="n"/>
      <c r="C69" s="6" t="n"/>
      <c r="D69" s="6" t="n"/>
      <c r="E69" s="6" t="n"/>
      <c r="F69">
        <f>IF(B69="","",C69+D69-E69)</f>
        <v/>
      </c>
      <c r="G69" s="6" t="n"/>
      <c r="H69">
        <f>IF(B69="","",IF(F69&lt;=0,"OUT OF STOCK",IF(F69&lt;=G69,"REORDER NOW","OK")))</f>
        <v/>
      </c>
      <c r="I69" s="6" t="n"/>
      <c r="J69" s="6" t="n"/>
      <c r="K69">
        <f>IF(B69="","",F69*I69)</f>
        <v/>
      </c>
      <c r="L69">
        <f>IF(B69="","",J69-I69)</f>
        <v/>
      </c>
    </row>
    <row r="70">
      <c r="A70" s="6" t="n"/>
      <c r="B70" s="6" t="n"/>
      <c r="C70" s="6" t="n"/>
      <c r="D70" s="6" t="n"/>
      <c r="E70" s="6" t="n"/>
      <c r="F70">
        <f>IF(B70="","",C70+D70-E70)</f>
        <v/>
      </c>
      <c r="G70" s="6" t="n"/>
      <c r="H70">
        <f>IF(B70="","",IF(F70&lt;=0,"OUT OF STOCK",IF(F70&lt;=G70,"REORDER NOW","OK")))</f>
        <v/>
      </c>
      <c r="I70" s="6" t="n"/>
      <c r="J70" s="6" t="n"/>
      <c r="K70">
        <f>IF(B70="","",F70*I70)</f>
        <v/>
      </c>
      <c r="L70">
        <f>IF(B70="","",J70-I70)</f>
        <v/>
      </c>
    </row>
    <row r="71">
      <c r="A71" s="6" t="n"/>
      <c r="B71" s="6" t="n"/>
      <c r="C71" s="6" t="n"/>
      <c r="D71" s="6" t="n"/>
      <c r="E71" s="6" t="n"/>
      <c r="F71">
        <f>IF(B71="","",C71+D71-E71)</f>
        <v/>
      </c>
      <c r="G71" s="6" t="n"/>
      <c r="H71">
        <f>IF(B71="","",IF(F71&lt;=0,"OUT OF STOCK",IF(F71&lt;=G71,"REORDER NOW","OK")))</f>
        <v/>
      </c>
      <c r="I71" s="6" t="n"/>
      <c r="J71" s="6" t="n"/>
      <c r="K71">
        <f>IF(B71="","",F71*I71)</f>
        <v/>
      </c>
      <c r="L71">
        <f>IF(B71="","",J71-I71)</f>
        <v/>
      </c>
    </row>
    <row r="72">
      <c r="A72" s="6" t="n"/>
      <c r="B72" s="6" t="n"/>
      <c r="C72" s="6" t="n"/>
      <c r="D72" s="6" t="n"/>
      <c r="E72" s="6" t="n"/>
      <c r="F72">
        <f>IF(B72="","",C72+D72-E72)</f>
        <v/>
      </c>
      <c r="G72" s="6" t="n"/>
      <c r="H72">
        <f>IF(B72="","",IF(F72&lt;=0,"OUT OF STOCK",IF(F72&lt;=G72,"REORDER NOW","OK")))</f>
        <v/>
      </c>
      <c r="I72" s="6" t="n"/>
      <c r="J72" s="6" t="n"/>
      <c r="K72">
        <f>IF(B72="","",F72*I72)</f>
        <v/>
      </c>
      <c r="L72">
        <f>IF(B72="","",J72-I72)</f>
        <v/>
      </c>
    </row>
    <row r="73">
      <c r="A73" s="6" t="n"/>
      <c r="B73" s="6" t="n"/>
      <c r="C73" s="6" t="n"/>
      <c r="D73" s="6" t="n"/>
      <c r="E73" s="6" t="n"/>
      <c r="F73">
        <f>IF(B73="","",C73+D73-E73)</f>
        <v/>
      </c>
      <c r="G73" s="6" t="n"/>
      <c r="H73">
        <f>IF(B73="","",IF(F73&lt;=0,"OUT OF STOCK",IF(F73&lt;=G73,"REORDER NOW","OK")))</f>
        <v/>
      </c>
      <c r="I73" s="6" t="n"/>
      <c r="J73" s="6" t="n"/>
      <c r="K73">
        <f>IF(B73="","",F73*I73)</f>
        <v/>
      </c>
      <c r="L73">
        <f>IF(B73="","",J73-I73)</f>
        <v/>
      </c>
    </row>
    <row r="74">
      <c r="A74" s="6" t="n"/>
      <c r="B74" s="6" t="n"/>
      <c r="C74" s="6" t="n"/>
      <c r="D74" s="6" t="n"/>
      <c r="E74" s="6" t="n"/>
      <c r="F74">
        <f>IF(B74="","",C74+D74-E74)</f>
        <v/>
      </c>
      <c r="G74" s="6" t="n"/>
      <c r="H74">
        <f>IF(B74="","",IF(F74&lt;=0,"OUT OF STOCK",IF(F74&lt;=G74,"REORDER NOW","OK")))</f>
        <v/>
      </c>
      <c r="I74" s="6" t="n"/>
      <c r="J74" s="6" t="n"/>
      <c r="K74">
        <f>IF(B74="","",F74*I74)</f>
        <v/>
      </c>
      <c r="L74">
        <f>IF(B74="","",J74-I74)</f>
        <v/>
      </c>
    </row>
    <row r="75">
      <c r="A75" s="6" t="n"/>
      <c r="B75" s="6" t="n"/>
      <c r="C75" s="6" t="n"/>
      <c r="D75" s="6" t="n"/>
      <c r="E75" s="6" t="n"/>
      <c r="F75">
        <f>IF(B75="","",C75+D75-E75)</f>
        <v/>
      </c>
      <c r="G75" s="6" t="n"/>
      <c r="H75">
        <f>IF(B75="","",IF(F75&lt;=0,"OUT OF STOCK",IF(F75&lt;=G75,"REORDER NOW","OK")))</f>
        <v/>
      </c>
      <c r="I75" s="6" t="n"/>
      <c r="J75" s="6" t="n"/>
      <c r="K75">
        <f>IF(B75="","",F75*I75)</f>
        <v/>
      </c>
      <c r="L75">
        <f>IF(B75="","",J75-I75)</f>
        <v/>
      </c>
    </row>
    <row r="76">
      <c r="A76" s="6" t="n"/>
      <c r="B76" s="6" t="n"/>
      <c r="C76" s="6" t="n"/>
      <c r="D76" s="6" t="n"/>
      <c r="E76" s="6" t="n"/>
      <c r="F76">
        <f>IF(B76="","",C76+D76-E76)</f>
        <v/>
      </c>
      <c r="G76" s="6" t="n"/>
      <c r="H76">
        <f>IF(B76="","",IF(F76&lt;=0,"OUT OF STOCK",IF(F76&lt;=G76,"REORDER NOW","OK")))</f>
        <v/>
      </c>
      <c r="I76" s="6" t="n"/>
      <c r="J76" s="6" t="n"/>
      <c r="K76">
        <f>IF(B76="","",F76*I76)</f>
        <v/>
      </c>
      <c r="L76">
        <f>IF(B76="","",J76-I76)</f>
        <v/>
      </c>
    </row>
    <row r="77">
      <c r="A77" s="6" t="n"/>
      <c r="B77" s="6" t="n"/>
      <c r="C77" s="6" t="n"/>
      <c r="D77" s="6" t="n"/>
      <c r="E77" s="6" t="n"/>
      <c r="F77">
        <f>IF(B77="","",C77+D77-E77)</f>
        <v/>
      </c>
      <c r="G77" s="6" t="n"/>
      <c r="H77">
        <f>IF(B77="","",IF(F77&lt;=0,"OUT OF STOCK",IF(F77&lt;=G77,"REORDER NOW","OK")))</f>
        <v/>
      </c>
      <c r="I77" s="6" t="n"/>
      <c r="J77" s="6" t="n"/>
      <c r="K77">
        <f>IF(B77="","",F77*I77)</f>
        <v/>
      </c>
      <c r="L77">
        <f>IF(B77="","",J77-I77)</f>
        <v/>
      </c>
    </row>
    <row r="78">
      <c r="A78" s="6" t="n"/>
      <c r="B78" s="6" t="n"/>
      <c r="C78" s="6" t="n"/>
      <c r="D78" s="6" t="n"/>
      <c r="E78" s="6" t="n"/>
      <c r="F78">
        <f>IF(B78="","",C78+D78-E78)</f>
        <v/>
      </c>
      <c r="G78" s="6" t="n"/>
      <c r="H78">
        <f>IF(B78="","",IF(F78&lt;=0,"OUT OF STOCK",IF(F78&lt;=G78,"REORDER NOW","OK")))</f>
        <v/>
      </c>
      <c r="I78" s="6" t="n"/>
      <c r="J78" s="6" t="n"/>
      <c r="K78">
        <f>IF(B78="","",F78*I78)</f>
        <v/>
      </c>
      <c r="L78">
        <f>IF(B78="","",J78-I78)</f>
        <v/>
      </c>
    </row>
    <row r="79">
      <c r="A79" s="6" t="n"/>
      <c r="B79" s="6" t="n"/>
      <c r="C79" s="6" t="n"/>
      <c r="D79" s="6" t="n"/>
      <c r="E79" s="6" t="n"/>
      <c r="F79">
        <f>IF(B79="","",C79+D79-E79)</f>
        <v/>
      </c>
      <c r="G79" s="6" t="n"/>
      <c r="H79">
        <f>IF(B79="","",IF(F79&lt;=0,"OUT OF STOCK",IF(F79&lt;=G79,"REORDER NOW","OK")))</f>
        <v/>
      </c>
      <c r="I79" s="6" t="n"/>
      <c r="J79" s="6" t="n"/>
      <c r="K79">
        <f>IF(B79="","",F79*I79)</f>
        <v/>
      </c>
      <c r="L79">
        <f>IF(B79="","",J79-I79)</f>
        <v/>
      </c>
    </row>
    <row r="80">
      <c r="A80" s="6" t="n"/>
      <c r="B80" s="6" t="n"/>
      <c r="C80" s="6" t="n"/>
      <c r="D80" s="6" t="n"/>
      <c r="E80" s="6" t="n"/>
      <c r="F80">
        <f>IF(B80="","",C80+D80-E80)</f>
        <v/>
      </c>
      <c r="G80" s="6" t="n"/>
      <c r="H80">
        <f>IF(B80="","",IF(F80&lt;=0,"OUT OF STOCK",IF(F80&lt;=G80,"REORDER NOW","OK")))</f>
        <v/>
      </c>
      <c r="I80" s="6" t="n"/>
      <c r="J80" s="6" t="n"/>
      <c r="K80">
        <f>IF(B80="","",F80*I80)</f>
        <v/>
      </c>
      <c r="L80">
        <f>IF(B80="","",J80-I80)</f>
        <v/>
      </c>
    </row>
    <row r="81">
      <c r="A81" s="6" t="n"/>
      <c r="B81" s="6" t="n"/>
      <c r="C81" s="6" t="n"/>
      <c r="D81" s="6" t="n"/>
      <c r="E81" s="6" t="n"/>
      <c r="F81">
        <f>IF(B81="","",C81+D81-E81)</f>
        <v/>
      </c>
      <c r="G81" s="6" t="n"/>
      <c r="H81">
        <f>IF(B81="","",IF(F81&lt;=0,"OUT OF STOCK",IF(F81&lt;=G81,"REORDER NOW","OK")))</f>
        <v/>
      </c>
      <c r="I81" s="6" t="n"/>
      <c r="J81" s="6" t="n"/>
      <c r="K81">
        <f>IF(B81="","",F81*I81)</f>
        <v/>
      </c>
      <c r="L81">
        <f>IF(B81="","",J81-I81)</f>
        <v/>
      </c>
    </row>
    <row r="82">
      <c r="A82" s="6" t="n"/>
      <c r="B82" s="6" t="n"/>
      <c r="C82" s="6" t="n"/>
      <c r="D82" s="6" t="n"/>
      <c r="E82" s="6" t="n"/>
      <c r="F82">
        <f>IF(B82="","",C82+D82-E82)</f>
        <v/>
      </c>
      <c r="G82" s="6" t="n"/>
      <c r="H82">
        <f>IF(B82="","",IF(F82&lt;=0,"OUT OF STOCK",IF(F82&lt;=G82,"REORDER NOW","OK")))</f>
        <v/>
      </c>
      <c r="I82" s="6" t="n"/>
      <c r="J82" s="6" t="n"/>
      <c r="K82">
        <f>IF(B82="","",F82*I82)</f>
        <v/>
      </c>
      <c r="L82">
        <f>IF(B82="","",J82-I82)</f>
        <v/>
      </c>
    </row>
    <row r="83">
      <c r="A83" s="6" t="n"/>
      <c r="B83" s="6" t="n"/>
      <c r="C83" s="6" t="n"/>
      <c r="D83" s="6" t="n"/>
      <c r="E83" s="6" t="n"/>
      <c r="F83">
        <f>IF(B83="","",C83+D83-E83)</f>
        <v/>
      </c>
      <c r="G83" s="6" t="n"/>
      <c r="H83">
        <f>IF(B83="","",IF(F83&lt;=0,"OUT OF STOCK",IF(F83&lt;=G83,"REORDER NOW","OK")))</f>
        <v/>
      </c>
      <c r="I83" s="6" t="n"/>
      <c r="J83" s="6" t="n"/>
      <c r="K83">
        <f>IF(B83="","",F83*I83)</f>
        <v/>
      </c>
      <c r="L83">
        <f>IF(B83="","",J83-I83)</f>
        <v/>
      </c>
    </row>
    <row r="84">
      <c r="A84" s="6" t="n"/>
      <c r="B84" s="6" t="n"/>
      <c r="C84" s="6" t="n"/>
      <c r="D84" s="6" t="n"/>
      <c r="E84" s="6" t="n"/>
      <c r="F84">
        <f>IF(B84="","",C84+D84-E84)</f>
        <v/>
      </c>
      <c r="G84" s="6" t="n"/>
      <c r="H84">
        <f>IF(B84="","",IF(F84&lt;=0,"OUT OF STOCK",IF(F84&lt;=G84,"REORDER NOW","OK")))</f>
        <v/>
      </c>
      <c r="I84" s="6" t="n"/>
      <c r="J84" s="6" t="n"/>
      <c r="K84">
        <f>IF(B84="","",F84*I84)</f>
        <v/>
      </c>
      <c r="L84">
        <f>IF(B84="","",J84-I84)</f>
        <v/>
      </c>
    </row>
    <row r="85">
      <c r="A85" s="6" t="n"/>
      <c r="B85" s="6" t="n"/>
      <c r="C85" s="6" t="n"/>
      <c r="D85" s="6" t="n"/>
      <c r="E85" s="6" t="n"/>
      <c r="F85">
        <f>IF(B85="","",C85+D85-E85)</f>
        <v/>
      </c>
      <c r="G85" s="6" t="n"/>
      <c r="H85">
        <f>IF(B85="","",IF(F85&lt;=0,"OUT OF STOCK",IF(F85&lt;=G85,"REORDER NOW","OK")))</f>
        <v/>
      </c>
      <c r="I85" s="6" t="n"/>
      <c r="J85" s="6" t="n"/>
      <c r="K85">
        <f>IF(B85="","",F85*I85)</f>
        <v/>
      </c>
      <c r="L85">
        <f>IF(B85="","",J85-I85)</f>
        <v/>
      </c>
    </row>
    <row r="86">
      <c r="A86" s="6" t="n"/>
      <c r="B86" s="6" t="n"/>
      <c r="C86" s="6" t="n"/>
      <c r="D86" s="6" t="n"/>
      <c r="E86" s="6" t="n"/>
      <c r="F86">
        <f>IF(B86="","",C86+D86-E86)</f>
        <v/>
      </c>
      <c r="G86" s="6" t="n"/>
      <c r="H86">
        <f>IF(B86="","",IF(F86&lt;=0,"OUT OF STOCK",IF(F86&lt;=G86,"REORDER NOW","OK")))</f>
        <v/>
      </c>
      <c r="I86" s="6" t="n"/>
      <c r="J86" s="6" t="n"/>
      <c r="K86">
        <f>IF(B86="","",F86*I86)</f>
        <v/>
      </c>
      <c r="L86">
        <f>IF(B86="","",J86-I86)</f>
        <v/>
      </c>
    </row>
    <row r="87">
      <c r="A87" s="6" t="n"/>
      <c r="B87" s="6" t="n"/>
      <c r="C87" s="6" t="n"/>
      <c r="D87" s="6" t="n"/>
      <c r="E87" s="6" t="n"/>
      <c r="F87">
        <f>IF(B87="","",C87+D87-E87)</f>
        <v/>
      </c>
      <c r="G87" s="6" t="n"/>
      <c r="H87">
        <f>IF(B87="","",IF(F87&lt;=0,"OUT OF STOCK",IF(F87&lt;=G87,"REORDER NOW","OK")))</f>
        <v/>
      </c>
      <c r="I87" s="6" t="n"/>
      <c r="J87" s="6" t="n"/>
      <c r="K87">
        <f>IF(B87="","",F87*I87)</f>
        <v/>
      </c>
      <c r="L87">
        <f>IF(B87="","",J87-I87)</f>
        <v/>
      </c>
    </row>
    <row r="88">
      <c r="A88" s="6" t="n"/>
      <c r="B88" s="6" t="n"/>
      <c r="C88" s="6" t="n"/>
      <c r="D88" s="6" t="n"/>
      <c r="E88" s="6" t="n"/>
      <c r="F88">
        <f>IF(B88="","",C88+D88-E88)</f>
        <v/>
      </c>
      <c r="G88" s="6" t="n"/>
      <c r="H88">
        <f>IF(B88="","",IF(F88&lt;=0,"OUT OF STOCK",IF(F88&lt;=G88,"REORDER NOW","OK")))</f>
        <v/>
      </c>
      <c r="I88" s="6" t="n"/>
      <c r="J88" s="6" t="n"/>
      <c r="K88">
        <f>IF(B88="","",F88*I88)</f>
        <v/>
      </c>
      <c r="L88">
        <f>IF(B88="","",J88-I88)</f>
        <v/>
      </c>
    </row>
    <row r="89">
      <c r="A89" s="6" t="n"/>
      <c r="B89" s="6" t="n"/>
      <c r="C89" s="6" t="n"/>
      <c r="D89" s="6" t="n"/>
      <c r="E89" s="6" t="n"/>
      <c r="F89">
        <f>IF(B89="","",C89+D89-E89)</f>
        <v/>
      </c>
      <c r="G89" s="6" t="n"/>
      <c r="H89">
        <f>IF(B89="","",IF(F89&lt;=0,"OUT OF STOCK",IF(F89&lt;=G89,"REORDER NOW","OK")))</f>
        <v/>
      </c>
      <c r="I89" s="6" t="n"/>
      <c r="J89" s="6" t="n"/>
      <c r="K89">
        <f>IF(B89="","",F89*I89)</f>
        <v/>
      </c>
      <c r="L89">
        <f>IF(B89="","",J89-I89)</f>
        <v/>
      </c>
    </row>
    <row r="90">
      <c r="A90" s="6" t="n"/>
      <c r="B90" s="6" t="n"/>
      <c r="C90" s="6" t="n"/>
      <c r="D90" s="6" t="n"/>
      <c r="E90" s="6" t="n"/>
      <c r="F90">
        <f>IF(B90="","",C90+D90-E90)</f>
        <v/>
      </c>
      <c r="G90" s="6" t="n"/>
      <c r="H90">
        <f>IF(B90="","",IF(F90&lt;=0,"OUT OF STOCK",IF(F90&lt;=G90,"REORDER NOW","OK")))</f>
        <v/>
      </c>
      <c r="I90" s="6" t="n"/>
      <c r="J90" s="6" t="n"/>
      <c r="K90">
        <f>IF(B90="","",F90*I90)</f>
        <v/>
      </c>
      <c r="L90">
        <f>IF(B90="","",J90-I90)</f>
        <v/>
      </c>
    </row>
    <row r="91">
      <c r="A91" s="6" t="n"/>
      <c r="B91" s="6" t="n"/>
      <c r="C91" s="6" t="n"/>
      <c r="D91" s="6" t="n"/>
      <c r="E91" s="6" t="n"/>
      <c r="F91">
        <f>IF(B91="","",C91+D91-E91)</f>
        <v/>
      </c>
      <c r="G91" s="6" t="n"/>
      <c r="H91">
        <f>IF(B91="","",IF(F91&lt;=0,"OUT OF STOCK",IF(F91&lt;=G91,"REORDER NOW","OK")))</f>
        <v/>
      </c>
      <c r="I91" s="6" t="n"/>
      <c r="J91" s="6" t="n"/>
      <c r="K91">
        <f>IF(B91="","",F91*I91)</f>
        <v/>
      </c>
      <c r="L91">
        <f>IF(B91="","",J91-I91)</f>
        <v/>
      </c>
    </row>
    <row r="92">
      <c r="A92" s="6" t="n"/>
      <c r="B92" s="6" t="n"/>
      <c r="C92" s="6" t="n"/>
      <c r="D92" s="6" t="n"/>
      <c r="E92" s="6" t="n"/>
      <c r="F92">
        <f>IF(B92="","",C92+D92-E92)</f>
        <v/>
      </c>
      <c r="G92" s="6" t="n"/>
      <c r="H92">
        <f>IF(B92="","",IF(F92&lt;=0,"OUT OF STOCK",IF(F92&lt;=G92,"REORDER NOW","OK")))</f>
        <v/>
      </c>
      <c r="I92" s="6" t="n"/>
      <c r="J92" s="6" t="n"/>
      <c r="K92">
        <f>IF(B92="","",F92*I92)</f>
        <v/>
      </c>
      <c r="L92">
        <f>IF(B92="","",J92-I92)</f>
        <v/>
      </c>
    </row>
    <row r="93">
      <c r="A93" s="6" t="n"/>
      <c r="B93" s="6" t="n"/>
      <c r="C93" s="6" t="n"/>
      <c r="D93" s="6" t="n"/>
      <c r="E93" s="6" t="n"/>
      <c r="F93">
        <f>IF(B93="","",C93+D93-E93)</f>
        <v/>
      </c>
      <c r="G93" s="6" t="n"/>
      <c r="H93">
        <f>IF(B93="","",IF(F93&lt;=0,"OUT OF STOCK",IF(F93&lt;=G93,"REORDER NOW","OK")))</f>
        <v/>
      </c>
      <c r="I93" s="6" t="n"/>
      <c r="J93" s="6" t="n"/>
      <c r="K93">
        <f>IF(B93="","",F93*I93)</f>
        <v/>
      </c>
      <c r="L93">
        <f>IF(B93="","",J93-I93)</f>
        <v/>
      </c>
    </row>
    <row r="94">
      <c r="A94" s="6" t="n"/>
      <c r="B94" s="6" t="n"/>
      <c r="C94" s="6" t="n"/>
      <c r="D94" s="6" t="n"/>
      <c r="E94" s="6" t="n"/>
      <c r="F94">
        <f>IF(B94="","",C94+D94-E94)</f>
        <v/>
      </c>
      <c r="G94" s="6" t="n"/>
      <c r="H94">
        <f>IF(B94="","",IF(F94&lt;=0,"OUT OF STOCK",IF(F94&lt;=G94,"REORDER NOW","OK")))</f>
        <v/>
      </c>
      <c r="I94" s="6" t="n"/>
      <c r="J94" s="6" t="n"/>
      <c r="K94">
        <f>IF(B94="","",F94*I94)</f>
        <v/>
      </c>
      <c r="L94">
        <f>IF(B94="","",J94-I94)</f>
        <v/>
      </c>
    </row>
    <row r="95">
      <c r="A95" s="6" t="n"/>
      <c r="B95" s="6" t="n"/>
      <c r="C95" s="6" t="n"/>
      <c r="D95" s="6" t="n"/>
      <c r="E95" s="6" t="n"/>
      <c r="F95">
        <f>IF(B95="","",C95+D95-E95)</f>
        <v/>
      </c>
      <c r="G95" s="6" t="n"/>
      <c r="H95">
        <f>IF(B95="","",IF(F95&lt;=0,"OUT OF STOCK",IF(F95&lt;=G95,"REORDER NOW","OK")))</f>
        <v/>
      </c>
      <c r="I95" s="6" t="n"/>
      <c r="J95" s="6" t="n"/>
      <c r="K95">
        <f>IF(B95="","",F95*I95)</f>
        <v/>
      </c>
      <c r="L95">
        <f>IF(B95="","",J95-I95)</f>
        <v/>
      </c>
    </row>
    <row r="96">
      <c r="A96" s="6" t="n"/>
      <c r="B96" s="6" t="n"/>
      <c r="C96" s="6" t="n"/>
      <c r="D96" s="6" t="n"/>
      <c r="E96" s="6" t="n"/>
      <c r="F96">
        <f>IF(B96="","",C96+D96-E96)</f>
        <v/>
      </c>
      <c r="G96" s="6" t="n"/>
      <c r="H96">
        <f>IF(B96="","",IF(F96&lt;=0,"OUT OF STOCK",IF(F96&lt;=G96,"REORDER NOW","OK")))</f>
        <v/>
      </c>
      <c r="I96" s="6" t="n"/>
      <c r="J96" s="6" t="n"/>
      <c r="K96">
        <f>IF(B96="","",F96*I96)</f>
        <v/>
      </c>
      <c r="L96">
        <f>IF(B96="","",J96-I96)</f>
        <v/>
      </c>
    </row>
    <row r="97">
      <c r="A97" s="6" t="n"/>
      <c r="B97" s="6" t="n"/>
      <c r="C97" s="6" t="n"/>
      <c r="D97" s="6" t="n"/>
      <c r="E97" s="6" t="n"/>
      <c r="F97">
        <f>IF(B97="","",C97+D97-E97)</f>
        <v/>
      </c>
      <c r="G97" s="6" t="n"/>
      <c r="H97">
        <f>IF(B97="","",IF(F97&lt;=0,"OUT OF STOCK",IF(F97&lt;=G97,"REORDER NOW","OK")))</f>
        <v/>
      </c>
      <c r="I97" s="6" t="n"/>
      <c r="J97" s="6" t="n"/>
      <c r="K97">
        <f>IF(B97="","",F97*I97)</f>
        <v/>
      </c>
      <c r="L97">
        <f>IF(B97="","",J97-I97)</f>
        <v/>
      </c>
    </row>
    <row r="98">
      <c r="A98" s="6" t="n"/>
      <c r="B98" s="6" t="n"/>
      <c r="C98" s="6" t="n"/>
      <c r="D98" s="6" t="n"/>
      <c r="E98" s="6" t="n"/>
      <c r="F98">
        <f>IF(B98="","",C98+D98-E98)</f>
        <v/>
      </c>
      <c r="G98" s="6" t="n"/>
      <c r="H98">
        <f>IF(B98="","",IF(F98&lt;=0,"OUT OF STOCK",IF(F98&lt;=G98,"REORDER NOW","OK")))</f>
        <v/>
      </c>
      <c r="I98" s="6" t="n"/>
      <c r="J98" s="6" t="n"/>
      <c r="K98">
        <f>IF(B98="","",F98*I98)</f>
        <v/>
      </c>
      <c r="L98">
        <f>IF(B98="","",J98-I98)</f>
        <v/>
      </c>
    </row>
    <row r="99">
      <c r="A99" s="6" t="n"/>
      <c r="B99" s="6" t="n"/>
      <c r="C99" s="6" t="n"/>
      <c r="D99" s="6" t="n"/>
      <c r="E99" s="6" t="n"/>
      <c r="F99">
        <f>IF(B99="","",C99+D99-E99)</f>
        <v/>
      </c>
      <c r="G99" s="6" t="n"/>
      <c r="H99">
        <f>IF(B99="","",IF(F99&lt;=0,"OUT OF STOCK",IF(F99&lt;=G99,"REORDER NOW","OK")))</f>
        <v/>
      </c>
      <c r="I99" s="6" t="n"/>
      <c r="J99" s="6" t="n"/>
      <c r="K99">
        <f>IF(B99="","",F99*I99)</f>
        <v/>
      </c>
      <c r="L99">
        <f>IF(B99="","",J99-I99)</f>
        <v/>
      </c>
    </row>
    <row r="100">
      <c r="A100" s="6" t="n"/>
      <c r="B100" s="6" t="n"/>
      <c r="C100" s="6" t="n"/>
      <c r="D100" s="6" t="n"/>
      <c r="E100" s="6" t="n"/>
      <c r="F100">
        <f>IF(B100="","",C100+D100-E100)</f>
        <v/>
      </c>
      <c r="G100" s="6" t="n"/>
      <c r="H100">
        <f>IF(B100="","",IF(F100&lt;=0,"OUT OF STOCK",IF(F100&lt;=G100,"REORDER NOW","OK")))</f>
        <v/>
      </c>
      <c r="I100" s="6" t="n"/>
      <c r="J100" s="6" t="n"/>
      <c r="K100">
        <f>IF(B100="","",F100*I100)</f>
        <v/>
      </c>
      <c r="L100">
        <f>IF(B100="","",J100-I100)</f>
        <v/>
      </c>
    </row>
    <row r="101">
      <c r="A101" s="6" t="n"/>
      <c r="B101" s="6" t="n"/>
      <c r="C101" s="6" t="n"/>
      <c r="D101" s="6" t="n"/>
      <c r="E101" s="6" t="n"/>
      <c r="F101">
        <f>IF(B101="","",C101+D101-E101)</f>
        <v/>
      </c>
      <c r="G101" s="6" t="n"/>
      <c r="H101">
        <f>IF(B101="","",IF(F101&lt;=0,"OUT OF STOCK",IF(F101&lt;=G101,"REORDER NOW","OK")))</f>
        <v/>
      </c>
      <c r="I101" s="6" t="n"/>
      <c r="J101" s="6" t="n"/>
      <c r="K101">
        <f>IF(B101="","",F101*I101)</f>
        <v/>
      </c>
      <c r="L101">
        <f>IF(B101="","",J101-I101)</f>
        <v/>
      </c>
    </row>
    <row r="102">
      <c r="A102" s="6" t="n"/>
      <c r="B102" s="6" t="n"/>
      <c r="C102" s="6" t="n"/>
      <c r="D102" s="6" t="n"/>
      <c r="E102" s="6" t="n"/>
      <c r="F102">
        <f>IF(B102="","",C102+D102-E102)</f>
        <v/>
      </c>
      <c r="G102" s="6" t="n"/>
      <c r="H102">
        <f>IF(B102="","",IF(F102&lt;=0,"OUT OF STOCK",IF(F102&lt;=G102,"REORDER NOW","OK")))</f>
        <v/>
      </c>
      <c r="I102" s="6" t="n"/>
      <c r="J102" s="6" t="n"/>
      <c r="K102">
        <f>IF(B102="","",F102*I102)</f>
        <v/>
      </c>
      <c r="L102">
        <f>IF(B102="","",J102-I102)</f>
        <v/>
      </c>
    </row>
    <row r="103">
      <c r="A103" s="6" t="n"/>
      <c r="B103" s="6" t="n"/>
      <c r="C103" s="6" t="n"/>
      <c r="D103" s="6" t="n"/>
      <c r="E103" s="6" t="n"/>
      <c r="F103">
        <f>IF(B103="","",C103+D103-E103)</f>
        <v/>
      </c>
      <c r="G103" s="6" t="n"/>
      <c r="H103">
        <f>IF(B103="","",IF(F103&lt;=0,"OUT OF STOCK",IF(F103&lt;=G103,"REORDER NOW","OK")))</f>
        <v/>
      </c>
      <c r="I103" s="6" t="n"/>
      <c r="J103" s="6" t="n"/>
      <c r="K103">
        <f>IF(B103="","",F103*I103)</f>
        <v/>
      </c>
      <c r="L103">
        <f>IF(B103="","",J103-I103)</f>
        <v/>
      </c>
    </row>
    <row r="104">
      <c r="A104" s="6" t="n"/>
      <c r="B104" s="6" t="n"/>
      <c r="C104" s="6" t="n"/>
      <c r="D104" s="6" t="n"/>
      <c r="E104" s="6" t="n"/>
      <c r="F104">
        <f>IF(B104="","",C104+D104-E104)</f>
        <v/>
      </c>
      <c r="G104" s="6" t="n"/>
      <c r="H104">
        <f>IF(B104="","",IF(F104&lt;=0,"OUT OF STOCK",IF(F104&lt;=G104,"REORDER NOW","OK")))</f>
        <v/>
      </c>
      <c r="I104" s="6" t="n"/>
      <c r="J104" s="6" t="n"/>
      <c r="K104">
        <f>IF(B104="","",F104*I104)</f>
        <v/>
      </c>
      <c r="L104">
        <f>IF(B104="","",J104-I104)</f>
        <v/>
      </c>
    </row>
    <row r="105">
      <c r="A105" s="6" t="n"/>
      <c r="B105" s="6" t="n"/>
      <c r="C105" s="6" t="n"/>
      <c r="D105" s="6" t="n"/>
      <c r="E105" s="6" t="n"/>
      <c r="F105">
        <f>IF(B105="","",C105+D105-E105)</f>
        <v/>
      </c>
      <c r="G105" s="6" t="n"/>
      <c r="H105">
        <f>IF(B105="","",IF(F105&lt;=0,"OUT OF STOCK",IF(F105&lt;=G105,"REORDER NOW","OK")))</f>
        <v/>
      </c>
      <c r="I105" s="6" t="n"/>
      <c r="J105" s="6" t="n"/>
      <c r="K105">
        <f>IF(B105="","",F105*I105)</f>
        <v/>
      </c>
      <c r="L105">
        <f>IF(B105="","",J105-I105)</f>
        <v/>
      </c>
    </row>
    <row r="106">
      <c r="A106" s="6" t="n"/>
      <c r="B106" s="6" t="n"/>
      <c r="C106" s="6" t="n"/>
      <c r="D106" s="6" t="n"/>
      <c r="E106" s="6" t="n"/>
      <c r="F106">
        <f>IF(B106="","",C106+D106-E106)</f>
        <v/>
      </c>
      <c r="G106" s="6" t="n"/>
      <c r="H106">
        <f>IF(B106="","",IF(F106&lt;=0,"OUT OF STOCK",IF(F106&lt;=G106,"REORDER NOW","OK")))</f>
        <v/>
      </c>
      <c r="I106" s="6" t="n"/>
      <c r="J106" s="6" t="n"/>
      <c r="K106">
        <f>IF(B106="","",F106*I106)</f>
        <v/>
      </c>
      <c r="L106">
        <f>IF(B106="","",J106-I106)</f>
        <v/>
      </c>
    </row>
    <row r="107">
      <c r="A107" s="6" t="n"/>
      <c r="B107" s="6" t="n"/>
      <c r="C107" s="6" t="n"/>
      <c r="D107" s="6" t="n"/>
      <c r="E107" s="6" t="n"/>
      <c r="F107">
        <f>IF(B107="","",C107+D107-E107)</f>
        <v/>
      </c>
      <c r="G107" s="6" t="n"/>
      <c r="H107">
        <f>IF(B107="","",IF(F107&lt;=0,"OUT OF STOCK",IF(F107&lt;=G107,"REORDER NOW","OK")))</f>
        <v/>
      </c>
      <c r="I107" s="6" t="n"/>
      <c r="J107" s="6" t="n"/>
      <c r="K107">
        <f>IF(B107="","",F107*I107)</f>
        <v/>
      </c>
      <c r="L107">
        <f>IF(B107="","",J107-I107)</f>
        <v/>
      </c>
    </row>
    <row r="108">
      <c r="A108" s="6" t="n"/>
      <c r="B108" s="6" t="n"/>
      <c r="C108" s="6" t="n"/>
      <c r="D108" s="6" t="n"/>
      <c r="E108" s="6" t="n"/>
      <c r="F108">
        <f>IF(B108="","",C108+D108-E108)</f>
        <v/>
      </c>
      <c r="G108" s="6" t="n"/>
      <c r="H108">
        <f>IF(B108="","",IF(F108&lt;=0,"OUT OF STOCK",IF(F108&lt;=G108,"REORDER NOW","OK")))</f>
        <v/>
      </c>
      <c r="I108" s="6" t="n"/>
      <c r="J108" s="6" t="n"/>
      <c r="K108">
        <f>IF(B108="","",F108*I108)</f>
        <v/>
      </c>
      <c r="L108">
        <f>IF(B108="","",J108-I108)</f>
        <v/>
      </c>
    </row>
    <row r="109">
      <c r="A109" s="6" t="n"/>
      <c r="B109" s="6" t="n"/>
      <c r="C109" s="6" t="n"/>
      <c r="D109" s="6" t="n"/>
      <c r="E109" s="6" t="n"/>
      <c r="F109">
        <f>IF(B109="","",C109+D109-E109)</f>
        <v/>
      </c>
      <c r="G109" s="6" t="n"/>
      <c r="H109">
        <f>IF(B109="","",IF(F109&lt;=0,"OUT OF STOCK",IF(F109&lt;=G109,"REORDER NOW","OK")))</f>
        <v/>
      </c>
      <c r="I109" s="6" t="n"/>
      <c r="J109" s="6" t="n"/>
      <c r="K109">
        <f>IF(B109="","",F109*I109)</f>
        <v/>
      </c>
      <c r="L109">
        <f>IF(B109="","",J109-I109)</f>
        <v/>
      </c>
    </row>
    <row r="110">
      <c r="A110" s="6" t="n"/>
      <c r="B110" s="6" t="n"/>
      <c r="C110" s="6" t="n"/>
      <c r="D110" s="6" t="n"/>
      <c r="E110" s="6" t="n"/>
      <c r="F110">
        <f>IF(B110="","",C110+D110-E110)</f>
        <v/>
      </c>
      <c r="G110" s="6" t="n"/>
      <c r="H110">
        <f>IF(B110="","",IF(F110&lt;=0,"OUT OF STOCK",IF(F110&lt;=G110,"REORDER NOW","OK")))</f>
        <v/>
      </c>
      <c r="I110" s="6" t="n"/>
      <c r="J110" s="6" t="n"/>
      <c r="K110">
        <f>IF(B110="","",F110*I110)</f>
        <v/>
      </c>
      <c r="L110">
        <f>IF(B110="","",J110-I110)</f>
        <v/>
      </c>
    </row>
    <row r="111">
      <c r="A111" s="6" t="n"/>
      <c r="B111" s="6" t="n"/>
      <c r="C111" s="6" t="n"/>
      <c r="D111" s="6" t="n"/>
      <c r="E111" s="6" t="n"/>
      <c r="F111">
        <f>IF(B111="","",C111+D111-E111)</f>
        <v/>
      </c>
      <c r="G111" s="6" t="n"/>
      <c r="H111">
        <f>IF(B111="","",IF(F111&lt;=0,"OUT OF STOCK",IF(F111&lt;=G111,"REORDER NOW","OK")))</f>
        <v/>
      </c>
      <c r="I111" s="6" t="n"/>
      <c r="J111" s="6" t="n"/>
      <c r="K111">
        <f>IF(B111="","",F111*I111)</f>
        <v/>
      </c>
      <c r="L111">
        <f>IF(B111="","",J111-I111)</f>
        <v/>
      </c>
    </row>
    <row r="112">
      <c r="A112" s="6" t="n"/>
      <c r="B112" s="6" t="n"/>
      <c r="C112" s="6" t="n"/>
      <c r="D112" s="6" t="n"/>
      <c r="E112" s="6" t="n"/>
      <c r="F112">
        <f>IF(B112="","",C112+D112-E112)</f>
        <v/>
      </c>
      <c r="G112" s="6" t="n"/>
      <c r="H112">
        <f>IF(B112="","",IF(F112&lt;=0,"OUT OF STOCK",IF(F112&lt;=G112,"REORDER NOW","OK")))</f>
        <v/>
      </c>
      <c r="I112" s="6" t="n"/>
      <c r="J112" s="6" t="n"/>
      <c r="K112">
        <f>IF(B112="","",F112*I112)</f>
        <v/>
      </c>
      <c r="L112">
        <f>IF(B112="","",J112-I112)</f>
        <v/>
      </c>
    </row>
    <row r="113">
      <c r="A113" s="6" t="n"/>
      <c r="B113" s="6" t="n"/>
      <c r="C113" s="6" t="n"/>
      <c r="D113" s="6" t="n"/>
      <c r="E113" s="6" t="n"/>
      <c r="F113">
        <f>IF(B113="","",C113+D113-E113)</f>
        <v/>
      </c>
      <c r="G113" s="6" t="n"/>
      <c r="H113">
        <f>IF(B113="","",IF(F113&lt;=0,"OUT OF STOCK",IF(F113&lt;=G113,"REORDER NOW","OK")))</f>
        <v/>
      </c>
      <c r="I113" s="6" t="n"/>
      <c r="J113" s="6" t="n"/>
      <c r="K113">
        <f>IF(B113="","",F113*I113)</f>
        <v/>
      </c>
      <c r="L113">
        <f>IF(B113="","",J113-I113)</f>
        <v/>
      </c>
    </row>
    <row r="114">
      <c r="A114" s="6" t="n"/>
      <c r="B114" s="6" t="n"/>
      <c r="C114" s="6" t="n"/>
      <c r="D114" s="6" t="n"/>
      <c r="E114" s="6" t="n"/>
      <c r="F114">
        <f>IF(B114="","",C114+D114-E114)</f>
        <v/>
      </c>
      <c r="G114" s="6" t="n"/>
      <c r="H114">
        <f>IF(B114="","",IF(F114&lt;=0,"OUT OF STOCK",IF(F114&lt;=G114,"REORDER NOW","OK")))</f>
        <v/>
      </c>
      <c r="I114" s="6" t="n"/>
      <c r="J114" s="6" t="n"/>
      <c r="K114">
        <f>IF(B114="","",F114*I114)</f>
        <v/>
      </c>
      <c r="L114">
        <f>IF(B114="","",J114-I114)</f>
        <v/>
      </c>
    </row>
    <row r="115">
      <c r="A115" s="6" t="n"/>
      <c r="B115" s="6" t="n"/>
      <c r="C115" s="6" t="n"/>
      <c r="D115" s="6" t="n"/>
      <c r="E115" s="6" t="n"/>
      <c r="F115">
        <f>IF(B115="","",C115+D115-E115)</f>
        <v/>
      </c>
      <c r="G115" s="6" t="n"/>
      <c r="H115">
        <f>IF(B115="","",IF(F115&lt;=0,"OUT OF STOCK",IF(F115&lt;=G115,"REORDER NOW","OK")))</f>
        <v/>
      </c>
      <c r="I115" s="6" t="n"/>
      <c r="J115" s="6" t="n"/>
      <c r="K115">
        <f>IF(B115="","",F115*I115)</f>
        <v/>
      </c>
      <c r="L115">
        <f>IF(B115="","",J115-I115)</f>
        <v/>
      </c>
    </row>
    <row r="116">
      <c r="A116" s="6" t="n"/>
      <c r="B116" s="6" t="n"/>
      <c r="C116" s="6" t="n"/>
      <c r="D116" s="6" t="n"/>
      <c r="E116" s="6" t="n"/>
      <c r="F116">
        <f>IF(B116="","",C116+D116-E116)</f>
        <v/>
      </c>
      <c r="G116" s="6" t="n"/>
      <c r="H116">
        <f>IF(B116="","",IF(F116&lt;=0,"OUT OF STOCK",IF(F116&lt;=G116,"REORDER NOW","OK")))</f>
        <v/>
      </c>
      <c r="I116" s="6" t="n"/>
      <c r="J116" s="6" t="n"/>
      <c r="K116">
        <f>IF(B116="","",F116*I116)</f>
        <v/>
      </c>
      <c r="L116">
        <f>IF(B116="","",J116-I116)</f>
        <v/>
      </c>
    </row>
    <row r="117">
      <c r="A117" s="6" t="n"/>
      <c r="B117" s="6" t="n"/>
      <c r="C117" s="6" t="n"/>
      <c r="D117" s="6" t="n"/>
      <c r="E117" s="6" t="n"/>
      <c r="F117">
        <f>IF(B117="","",C117+D117-E117)</f>
        <v/>
      </c>
      <c r="G117" s="6" t="n"/>
      <c r="H117">
        <f>IF(B117="","",IF(F117&lt;=0,"OUT OF STOCK",IF(F117&lt;=G117,"REORDER NOW","OK")))</f>
        <v/>
      </c>
      <c r="I117" s="6" t="n"/>
      <c r="J117" s="6" t="n"/>
      <c r="K117">
        <f>IF(B117="","",F117*I117)</f>
        <v/>
      </c>
      <c r="L117">
        <f>IF(B117="","",J117-I117)</f>
        <v/>
      </c>
    </row>
    <row r="118">
      <c r="A118" s="6" t="n"/>
      <c r="B118" s="6" t="n"/>
      <c r="C118" s="6" t="n"/>
      <c r="D118" s="6" t="n"/>
      <c r="E118" s="6" t="n"/>
      <c r="F118">
        <f>IF(B118="","",C118+D118-E118)</f>
        <v/>
      </c>
      <c r="G118" s="6" t="n"/>
      <c r="H118">
        <f>IF(B118="","",IF(F118&lt;=0,"OUT OF STOCK",IF(F118&lt;=G118,"REORDER NOW","OK")))</f>
        <v/>
      </c>
      <c r="I118" s="6" t="n"/>
      <c r="J118" s="6" t="n"/>
      <c r="K118">
        <f>IF(B118="","",F118*I118)</f>
        <v/>
      </c>
      <c r="L118">
        <f>IF(B118="","",J118-I118)</f>
        <v/>
      </c>
    </row>
    <row r="119">
      <c r="A119" s="6" t="n"/>
      <c r="B119" s="6" t="n"/>
      <c r="C119" s="6" t="n"/>
      <c r="D119" s="6" t="n"/>
      <c r="E119" s="6" t="n"/>
      <c r="F119">
        <f>IF(B119="","",C119+D119-E119)</f>
        <v/>
      </c>
      <c r="G119" s="6" t="n"/>
      <c r="H119">
        <f>IF(B119="","",IF(F119&lt;=0,"OUT OF STOCK",IF(F119&lt;=G119,"REORDER NOW","OK")))</f>
        <v/>
      </c>
      <c r="I119" s="6" t="n"/>
      <c r="J119" s="6" t="n"/>
      <c r="K119">
        <f>IF(B119="","",F119*I119)</f>
        <v/>
      </c>
      <c r="L119">
        <f>IF(B119="","",J119-I119)</f>
        <v/>
      </c>
    </row>
    <row r="120">
      <c r="A120" s="6" t="n"/>
      <c r="B120" s="6" t="n"/>
      <c r="C120" s="6" t="n"/>
      <c r="D120" s="6" t="n"/>
      <c r="E120" s="6" t="n"/>
      <c r="F120">
        <f>IF(B120="","",C120+D120-E120)</f>
        <v/>
      </c>
      <c r="G120" s="6" t="n"/>
      <c r="H120">
        <f>IF(B120="","",IF(F120&lt;=0,"OUT OF STOCK",IF(F120&lt;=G120,"REORDER NOW","OK")))</f>
        <v/>
      </c>
      <c r="I120" s="6" t="n"/>
      <c r="J120" s="6" t="n"/>
      <c r="K120">
        <f>IF(B120="","",F120*I120)</f>
        <v/>
      </c>
      <c r="L120">
        <f>IF(B120="","",J120-I120)</f>
        <v/>
      </c>
    </row>
    <row r="121">
      <c r="A121" s="6" t="n"/>
      <c r="B121" s="6" t="n"/>
      <c r="C121" s="6" t="n"/>
      <c r="D121" s="6" t="n"/>
      <c r="E121" s="6" t="n"/>
      <c r="F121">
        <f>IF(B121="","",C121+D121-E121)</f>
        <v/>
      </c>
      <c r="G121" s="6" t="n"/>
      <c r="H121">
        <f>IF(B121="","",IF(F121&lt;=0,"OUT OF STOCK",IF(F121&lt;=G121,"REORDER NOW","OK")))</f>
        <v/>
      </c>
      <c r="I121" s="6" t="n"/>
      <c r="J121" s="6" t="n"/>
      <c r="K121">
        <f>IF(B121="","",F121*I121)</f>
        <v/>
      </c>
      <c r="L121">
        <f>IF(B121="","",J121-I121)</f>
        <v/>
      </c>
    </row>
    <row r="122">
      <c r="A122" s="6" t="n"/>
      <c r="B122" s="6" t="n"/>
      <c r="C122" s="6" t="n"/>
      <c r="D122" s="6" t="n"/>
      <c r="E122" s="6" t="n"/>
      <c r="F122">
        <f>IF(B122="","",C122+D122-E122)</f>
        <v/>
      </c>
      <c r="G122" s="6" t="n"/>
      <c r="H122">
        <f>IF(B122="","",IF(F122&lt;=0,"OUT OF STOCK",IF(F122&lt;=G122,"REORDER NOW","OK")))</f>
        <v/>
      </c>
      <c r="I122" s="6" t="n"/>
      <c r="J122" s="6" t="n"/>
      <c r="K122">
        <f>IF(B122="","",F122*I122)</f>
        <v/>
      </c>
      <c r="L122">
        <f>IF(B122="","",J122-I122)</f>
        <v/>
      </c>
    </row>
    <row r="123">
      <c r="A123" s="6" t="n"/>
      <c r="B123" s="6" t="n"/>
      <c r="C123" s="6" t="n"/>
      <c r="D123" s="6" t="n"/>
      <c r="E123" s="6" t="n"/>
      <c r="F123">
        <f>IF(B123="","",C123+D123-E123)</f>
        <v/>
      </c>
      <c r="G123" s="6" t="n"/>
      <c r="H123">
        <f>IF(B123="","",IF(F123&lt;=0,"OUT OF STOCK",IF(F123&lt;=G123,"REORDER NOW","OK")))</f>
        <v/>
      </c>
      <c r="I123" s="6" t="n"/>
      <c r="J123" s="6" t="n"/>
      <c r="K123">
        <f>IF(B123="","",F123*I123)</f>
        <v/>
      </c>
      <c r="L123">
        <f>IF(B123="","",J123-I123)</f>
        <v/>
      </c>
    </row>
    <row r="124">
      <c r="A124" s="6" t="n"/>
      <c r="B124" s="6" t="n"/>
      <c r="C124" s="6" t="n"/>
      <c r="D124" s="6" t="n"/>
      <c r="E124" s="6" t="n"/>
      <c r="F124">
        <f>IF(B124="","",C124+D124-E124)</f>
        <v/>
      </c>
      <c r="G124" s="6" t="n"/>
      <c r="H124">
        <f>IF(B124="","",IF(F124&lt;=0,"OUT OF STOCK",IF(F124&lt;=G124,"REORDER NOW","OK")))</f>
        <v/>
      </c>
      <c r="I124" s="6" t="n"/>
      <c r="J124" s="6" t="n"/>
      <c r="K124">
        <f>IF(B124="","",F124*I124)</f>
        <v/>
      </c>
      <c r="L124">
        <f>IF(B124="","",J124-I124)</f>
        <v/>
      </c>
    </row>
    <row r="125">
      <c r="A125" s="6" t="n"/>
      <c r="B125" s="6" t="n"/>
      <c r="C125" s="6" t="n"/>
      <c r="D125" s="6" t="n"/>
      <c r="E125" s="6" t="n"/>
      <c r="F125">
        <f>IF(B125="","",C125+D125-E125)</f>
        <v/>
      </c>
      <c r="G125" s="6" t="n"/>
      <c r="H125">
        <f>IF(B125="","",IF(F125&lt;=0,"OUT OF STOCK",IF(F125&lt;=G125,"REORDER NOW","OK")))</f>
        <v/>
      </c>
      <c r="I125" s="6" t="n"/>
      <c r="J125" s="6" t="n"/>
      <c r="K125">
        <f>IF(B125="","",F125*I125)</f>
        <v/>
      </c>
      <c r="L125">
        <f>IF(B125="","",J125-I125)</f>
        <v/>
      </c>
    </row>
    <row r="126">
      <c r="A126" s="6" t="n"/>
      <c r="B126" s="6" t="n"/>
      <c r="C126" s="6" t="n"/>
      <c r="D126" s="6" t="n"/>
      <c r="E126" s="6" t="n"/>
      <c r="F126">
        <f>IF(B126="","",C126+D126-E126)</f>
        <v/>
      </c>
      <c r="G126" s="6" t="n"/>
      <c r="H126">
        <f>IF(B126="","",IF(F126&lt;=0,"OUT OF STOCK",IF(F126&lt;=G126,"REORDER NOW","OK")))</f>
        <v/>
      </c>
      <c r="I126" s="6" t="n"/>
      <c r="J126" s="6" t="n"/>
      <c r="K126">
        <f>IF(B126="","",F126*I126)</f>
        <v/>
      </c>
      <c r="L126">
        <f>IF(B126="","",J126-I126)</f>
        <v/>
      </c>
    </row>
    <row r="127">
      <c r="A127" s="6" t="n"/>
      <c r="B127" s="6" t="n"/>
      <c r="C127" s="6" t="n"/>
      <c r="D127" s="6" t="n"/>
      <c r="E127" s="6" t="n"/>
      <c r="F127">
        <f>IF(B127="","",C127+D127-E127)</f>
        <v/>
      </c>
      <c r="G127" s="6" t="n"/>
      <c r="H127">
        <f>IF(B127="","",IF(F127&lt;=0,"OUT OF STOCK",IF(F127&lt;=G127,"REORDER NOW","OK")))</f>
        <v/>
      </c>
      <c r="I127" s="6" t="n"/>
      <c r="J127" s="6" t="n"/>
      <c r="K127">
        <f>IF(B127="","",F127*I127)</f>
        <v/>
      </c>
      <c r="L127">
        <f>IF(B127="","",J127-I127)</f>
        <v/>
      </c>
    </row>
    <row r="128">
      <c r="A128" s="6" t="n"/>
      <c r="B128" s="6" t="n"/>
      <c r="C128" s="6" t="n"/>
      <c r="D128" s="6" t="n"/>
      <c r="E128" s="6" t="n"/>
      <c r="F128">
        <f>IF(B128="","",C128+D128-E128)</f>
        <v/>
      </c>
      <c r="G128" s="6" t="n"/>
      <c r="H128">
        <f>IF(B128="","",IF(F128&lt;=0,"OUT OF STOCK",IF(F128&lt;=G128,"REORDER NOW","OK")))</f>
        <v/>
      </c>
      <c r="I128" s="6" t="n"/>
      <c r="J128" s="6" t="n"/>
      <c r="K128">
        <f>IF(B128="","",F128*I128)</f>
        <v/>
      </c>
      <c r="L128">
        <f>IF(B128="","",J128-I128)</f>
        <v/>
      </c>
    </row>
    <row r="129">
      <c r="A129" s="6" t="n"/>
      <c r="B129" s="6" t="n"/>
      <c r="C129" s="6" t="n"/>
      <c r="D129" s="6" t="n"/>
      <c r="E129" s="6" t="n"/>
      <c r="F129">
        <f>IF(B129="","",C129+D129-E129)</f>
        <v/>
      </c>
      <c r="G129" s="6" t="n"/>
      <c r="H129">
        <f>IF(B129="","",IF(F129&lt;=0,"OUT OF STOCK",IF(F129&lt;=G129,"REORDER NOW","OK")))</f>
        <v/>
      </c>
      <c r="I129" s="6" t="n"/>
      <c r="J129" s="6" t="n"/>
      <c r="K129">
        <f>IF(B129="","",F129*I129)</f>
        <v/>
      </c>
      <c r="L129">
        <f>IF(B129="","",J129-I129)</f>
        <v/>
      </c>
    </row>
    <row r="130">
      <c r="A130" s="6" t="n"/>
      <c r="B130" s="6" t="n"/>
      <c r="C130" s="6" t="n"/>
      <c r="D130" s="6" t="n"/>
      <c r="E130" s="6" t="n"/>
      <c r="F130">
        <f>IF(B130="","",C130+D130-E130)</f>
        <v/>
      </c>
      <c r="G130" s="6" t="n"/>
      <c r="H130">
        <f>IF(B130="","",IF(F130&lt;=0,"OUT OF STOCK",IF(F130&lt;=G130,"REORDER NOW","OK")))</f>
        <v/>
      </c>
      <c r="I130" s="6" t="n"/>
      <c r="J130" s="6" t="n"/>
      <c r="K130">
        <f>IF(B130="","",F130*I130)</f>
        <v/>
      </c>
      <c r="L130">
        <f>IF(B130="","",J130-I130)</f>
        <v/>
      </c>
    </row>
    <row r="131">
      <c r="A131" s="6" t="n"/>
      <c r="B131" s="6" t="n"/>
      <c r="C131" s="6" t="n"/>
      <c r="D131" s="6" t="n"/>
      <c r="E131" s="6" t="n"/>
      <c r="F131">
        <f>IF(B131="","",C131+D131-E131)</f>
        <v/>
      </c>
      <c r="G131" s="6" t="n"/>
      <c r="H131">
        <f>IF(B131="","",IF(F131&lt;=0,"OUT OF STOCK",IF(F131&lt;=G131,"REORDER NOW","OK")))</f>
        <v/>
      </c>
      <c r="I131" s="6" t="n"/>
      <c r="J131" s="6" t="n"/>
      <c r="K131">
        <f>IF(B131="","",F131*I131)</f>
        <v/>
      </c>
      <c r="L131">
        <f>IF(B131="","",J131-I131)</f>
        <v/>
      </c>
    </row>
    <row r="132">
      <c r="A132" s="6" t="n"/>
      <c r="B132" s="6" t="n"/>
      <c r="C132" s="6" t="n"/>
      <c r="D132" s="6" t="n"/>
      <c r="E132" s="6" t="n"/>
      <c r="F132">
        <f>IF(B132="","",C132+D132-E132)</f>
        <v/>
      </c>
      <c r="G132" s="6" t="n"/>
      <c r="H132">
        <f>IF(B132="","",IF(F132&lt;=0,"OUT OF STOCK",IF(F132&lt;=G132,"REORDER NOW","OK")))</f>
        <v/>
      </c>
      <c r="I132" s="6" t="n"/>
      <c r="J132" s="6" t="n"/>
      <c r="K132">
        <f>IF(B132="","",F132*I132)</f>
        <v/>
      </c>
      <c r="L132">
        <f>IF(B132="","",J132-I132)</f>
        <v/>
      </c>
    </row>
    <row r="133">
      <c r="A133" s="6" t="n"/>
      <c r="B133" s="6" t="n"/>
      <c r="C133" s="6" t="n"/>
      <c r="D133" s="6" t="n"/>
      <c r="E133" s="6" t="n"/>
      <c r="F133">
        <f>IF(B133="","",C133+D133-E133)</f>
        <v/>
      </c>
      <c r="G133" s="6" t="n"/>
      <c r="H133">
        <f>IF(B133="","",IF(F133&lt;=0,"OUT OF STOCK",IF(F133&lt;=G133,"REORDER NOW","OK")))</f>
        <v/>
      </c>
      <c r="I133" s="6" t="n"/>
      <c r="J133" s="6" t="n"/>
      <c r="K133">
        <f>IF(B133="","",F133*I133)</f>
        <v/>
      </c>
      <c r="L133">
        <f>IF(B133="","",J133-I133)</f>
        <v/>
      </c>
    </row>
    <row r="134">
      <c r="A134" s="6" t="n"/>
      <c r="B134" s="6" t="n"/>
      <c r="C134" s="6" t="n"/>
      <c r="D134" s="6" t="n"/>
      <c r="E134" s="6" t="n"/>
      <c r="F134">
        <f>IF(B134="","",C134+D134-E134)</f>
        <v/>
      </c>
      <c r="G134" s="6" t="n"/>
      <c r="H134">
        <f>IF(B134="","",IF(F134&lt;=0,"OUT OF STOCK",IF(F134&lt;=G134,"REORDER NOW","OK")))</f>
        <v/>
      </c>
      <c r="I134" s="6" t="n"/>
      <c r="J134" s="6" t="n"/>
      <c r="K134">
        <f>IF(B134="","",F134*I134)</f>
        <v/>
      </c>
      <c r="L134">
        <f>IF(B134="","",J134-I134)</f>
        <v/>
      </c>
    </row>
    <row r="135">
      <c r="A135" s="6" t="n"/>
      <c r="B135" s="6" t="n"/>
      <c r="C135" s="6" t="n"/>
      <c r="D135" s="6" t="n"/>
      <c r="E135" s="6" t="n"/>
      <c r="F135">
        <f>IF(B135="","",C135+D135-E135)</f>
        <v/>
      </c>
      <c r="G135" s="6" t="n"/>
      <c r="H135">
        <f>IF(B135="","",IF(F135&lt;=0,"OUT OF STOCK",IF(F135&lt;=G135,"REORDER NOW","OK")))</f>
        <v/>
      </c>
      <c r="I135" s="6" t="n"/>
      <c r="J135" s="6" t="n"/>
      <c r="K135">
        <f>IF(B135="","",F135*I135)</f>
        <v/>
      </c>
      <c r="L135">
        <f>IF(B135="","",J135-I135)</f>
        <v/>
      </c>
    </row>
    <row r="136">
      <c r="A136" s="6" t="n"/>
      <c r="B136" s="6" t="n"/>
      <c r="C136" s="6" t="n"/>
      <c r="D136" s="6" t="n"/>
      <c r="E136" s="6" t="n"/>
      <c r="F136">
        <f>IF(B136="","",C136+D136-E136)</f>
        <v/>
      </c>
      <c r="G136" s="6" t="n"/>
      <c r="H136">
        <f>IF(B136="","",IF(F136&lt;=0,"OUT OF STOCK",IF(F136&lt;=G136,"REORDER NOW","OK")))</f>
        <v/>
      </c>
      <c r="I136" s="6" t="n"/>
      <c r="J136" s="6" t="n"/>
      <c r="K136">
        <f>IF(B136="","",F136*I136)</f>
        <v/>
      </c>
      <c r="L136">
        <f>IF(B136="","",J136-I136)</f>
        <v/>
      </c>
    </row>
    <row r="137">
      <c r="A137" s="6" t="n"/>
      <c r="B137" s="6" t="n"/>
      <c r="C137" s="6" t="n"/>
      <c r="D137" s="6" t="n"/>
      <c r="E137" s="6" t="n"/>
      <c r="F137">
        <f>IF(B137="","",C137+D137-E137)</f>
        <v/>
      </c>
      <c r="G137" s="6" t="n"/>
      <c r="H137">
        <f>IF(B137="","",IF(F137&lt;=0,"OUT OF STOCK",IF(F137&lt;=G137,"REORDER NOW","OK")))</f>
        <v/>
      </c>
      <c r="I137" s="6" t="n"/>
      <c r="J137" s="6" t="n"/>
      <c r="K137">
        <f>IF(B137="","",F137*I137)</f>
        <v/>
      </c>
      <c r="L137">
        <f>IF(B137="","",J137-I137)</f>
        <v/>
      </c>
    </row>
    <row r="138">
      <c r="A138" s="6" t="n"/>
      <c r="B138" s="6" t="n"/>
      <c r="C138" s="6" t="n"/>
      <c r="D138" s="6" t="n"/>
      <c r="E138" s="6" t="n"/>
      <c r="F138">
        <f>IF(B138="","",C138+D138-E138)</f>
        <v/>
      </c>
      <c r="G138" s="6" t="n"/>
      <c r="H138">
        <f>IF(B138="","",IF(F138&lt;=0,"OUT OF STOCK",IF(F138&lt;=G138,"REORDER NOW","OK")))</f>
        <v/>
      </c>
      <c r="I138" s="6" t="n"/>
      <c r="J138" s="6" t="n"/>
      <c r="K138">
        <f>IF(B138="","",F138*I138)</f>
        <v/>
      </c>
      <c r="L138">
        <f>IF(B138="","",J138-I138)</f>
        <v/>
      </c>
    </row>
    <row r="139">
      <c r="A139" s="6" t="n"/>
      <c r="B139" s="6" t="n"/>
      <c r="C139" s="6" t="n"/>
      <c r="D139" s="6" t="n"/>
      <c r="E139" s="6" t="n"/>
      <c r="F139">
        <f>IF(B139="","",C139+D139-E139)</f>
        <v/>
      </c>
      <c r="G139" s="6" t="n"/>
      <c r="H139">
        <f>IF(B139="","",IF(F139&lt;=0,"OUT OF STOCK",IF(F139&lt;=G139,"REORDER NOW","OK")))</f>
        <v/>
      </c>
      <c r="I139" s="6" t="n"/>
      <c r="J139" s="6" t="n"/>
      <c r="K139">
        <f>IF(B139="","",F139*I139)</f>
        <v/>
      </c>
      <c r="L139">
        <f>IF(B139="","",J139-I139)</f>
        <v/>
      </c>
    </row>
    <row r="140">
      <c r="A140" s="6" t="n"/>
      <c r="B140" s="6" t="n"/>
      <c r="C140" s="6" t="n"/>
      <c r="D140" s="6" t="n"/>
      <c r="E140" s="6" t="n"/>
      <c r="F140">
        <f>IF(B140="","",C140+D140-E140)</f>
        <v/>
      </c>
      <c r="G140" s="6" t="n"/>
      <c r="H140">
        <f>IF(B140="","",IF(F140&lt;=0,"OUT OF STOCK",IF(F140&lt;=G140,"REORDER NOW","OK")))</f>
        <v/>
      </c>
      <c r="I140" s="6" t="n"/>
      <c r="J140" s="6" t="n"/>
      <c r="K140">
        <f>IF(B140="","",F140*I140)</f>
        <v/>
      </c>
      <c r="L140">
        <f>IF(B140="","",J140-I140)</f>
        <v/>
      </c>
    </row>
    <row r="141">
      <c r="A141" s="6" t="n"/>
      <c r="B141" s="6" t="n"/>
      <c r="C141" s="6" t="n"/>
      <c r="D141" s="6" t="n"/>
      <c r="E141" s="6" t="n"/>
      <c r="F141">
        <f>IF(B141="","",C141+D141-E141)</f>
        <v/>
      </c>
      <c r="G141" s="6" t="n"/>
      <c r="H141">
        <f>IF(B141="","",IF(F141&lt;=0,"OUT OF STOCK",IF(F141&lt;=G141,"REORDER NOW","OK")))</f>
        <v/>
      </c>
      <c r="I141" s="6" t="n"/>
      <c r="J141" s="6" t="n"/>
      <c r="K141">
        <f>IF(B141="","",F141*I141)</f>
        <v/>
      </c>
      <c r="L141">
        <f>IF(B141="","",J141-I141)</f>
        <v/>
      </c>
    </row>
    <row r="142">
      <c r="A142" s="6" t="n"/>
      <c r="B142" s="6" t="n"/>
      <c r="C142" s="6" t="n"/>
      <c r="D142" s="6" t="n"/>
      <c r="E142" s="6" t="n"/>
      <c r="F142">
        <f>IF(B142="","",C142+D142-E142)</f>
        <v/>
      </c>
      <c r="G142" s="6" t="n"/>
      <c r="H142">
        <f>IF(B142="","",IF(F142&lt;=0,"OUT OF STOCK",IF(F142&lt;=G142,"REORDER NOW","OK")))</f>
        <v/>
      </c>
      <c r="I142" s="6" t="n"/>
      <c r="J142" s="6" t="n"/>
      <c r="K142">
        <f>IF(B142="","",F142*I142)</f>
        <v/>
      </c>
      <c r="L142">
        <f>IF(B142="","",J142-I142)</f>
        <v/>
      </c>
    </row>
    <row r="143">
      <c r="A143" s="6" t="n"/>
      <c r="B143" s="6" t="n"/>
      <c r="C143" s="6" t="n"/>
      <c r="D143" s="6" t="n"/>
      <c r="E143" s="6" t="n"/>
      <c r="F143">
        <f>IF(B143="","",C143+D143-E143)</f>
        <v/>
      </c>
      <c r="G143" s="6" t="n"/>
      <c r="H143">
        <f>IF(B143="","",IF(F143&lt;=0,"OUT OF STOCK",IF(F143&lt;=G143,"REORDER NOW","OK")))</f>
        <v/>
      </c>
      <c r="I143" s="6" t="n"/>
      <c r="J143" s="6" t="n"/>
      <c r="K143">
        <f>IF(B143="","",F143*I143)</f>
        <v/>
      </c>
      <c r="L143">
        <f>IF(B143="","",J143-I143)</f>
        <v/>
      </c>
    </row>
    <row r="144">
      <c r="A144" s="6" t="n"/>
      <c r="B144" s="6" t="n"/>
      <c r="C144" s="6" t="n"/>
      <c r="D144" s="6" t="n"/>
      <c r="E144" s="6" t="n"/>
      <c r="F144">
        <f>IF(B144="","",C144+D144-E144)</f>
        <v/>
      </c>
      <c r="G144" s="6" t="n"/>
      <c r="H144">
        <f>IF(B144="","",IF(F144&lt;=0,"OUT OF STOCK",IF(F144&lt;=G144,"REORDER NOW","OK")))</f>
        <v/>
      </c>
      <c r="I144" s="6" t="n"/>
      <c r="J144" s="6" t="n"/>
      <c r="K144">
        <f>IF(B144="","",F144*I144)</f>
        <v/>
      </c>
      <c r="L144">
        <f>IF(B144="","",J144-I144)</f>
        <v/>
      </c>
    </row>
    <row r="145">
      <c r="A145" s="6" t="n"/>
      <c r="B145" s="6" t="n"/>
      <c r="C145" s="6" t="n"/>
      <c r="D145" s="6" t="n"/>
      <c r="E145" s="6" t="n"/>
      <c r="F145">
        <f>IF(B145="","",C145+D145-E145)</f>
        <v/>
      </c>
      <c r="G145" s="6" t="n"/>
      <c r="H145">
        <f>IF(B145="","",IF(F145&lt;=0,"OUT OF STOCK",IF(F145&lt;=G145,"REORDER NOW","OK")))</f>
        <v/>
      </c>
      <c r="I145" s="6" t="n"/>
      <c r="J145" s="6" t="n"/>
      <c r="K145">
        <f>IF(B145="","",F145*I145)</f>
        <v/>
      </c>
      <c r="L145">
        <f>IF(B145="","",J145-I145)</f>
        <v/>
      </c>
    </row>
    <row r="146">
      <c r="A146" s="6" t="n"/>
      <c r="B146" s="6" t="n"/>
      <c r="C146" s="6" t="n"/>
      <c r="D146" s="6" t="n"/>
      <c r="E146" s="6" t="n"/>
      <c r="F146">
        <f>IF(B146="","",C146+D146-E146)</f>
        <v/>
      </c>
      <c r="G146" s="6" t="n"/>
      <c r="H146">
        <f>IF(B146="","",IF(F146&lt;=0,"OUT OF STOCK",IF(F146&lt;=G146,"REORDER NOW","OK")))</f>
        <v/>
      </c>
      <c r="I146" s="6" t="n"/>
      <c r="J146" s="6" t="n"/>
      <c r="K146">
        <f>IF(B146="","",F146*I146)</f>
        <v/>
      </c>
      <c r="L146">
        <f>IF(B146="","",J146-I146)</f>
        <v/>
      </c>
    </row>
    <row r="147">
      <c r="A147" s="6" t="n"/>
      <c r="B147" s="6" t="n"/>
      <c r="C147" s="6" t="n"/>
      <c r="D147" s="6" t="n"/>
      <c r="E147" s="6" t="n"/>
      <c r="F147">
        <f>IF(B147="","",C147+D147-E147)</f>
        <v/>
      </c>
      <c r="G147" s="6" t="n"/>
      <c r="H147">
        <f>IF(B147="","",IF(F147&lt;=0,"OUT OF STOCK",IF(F147&lt;=G147,"REORDER NOW","OK")))</f>
        <v/>
      </c>
      <c r="I147" s="6" t="n"/>
      <c r="J147" s="6" t="n"/>
      <c r="K147">
        <f>IF(B147="","",F147*I147)</f>
        <v/>
      </c>
      <c r="L147">
        <f>IF(B147="","",J147-I147)</f>
        <v/>
      </c>
    </row>
    <row r="148">
      <c r="A148" s="6" t="n"/>
      <c r="B148" s="6" t="n"/>
      <c r="C148" s="6" t="n"/>
      <c r="D148" s="6" t="n"/>
      <c r="E148" s="6" t="n"/>
      <c r="F148">
        <f>IF(B148="","",C148+D148-E148)</f>
        <v/>
      </c>
      <c r="G148" s="6" t="n"/>
      <c r="H148">
        <f>IF(B148="","",IF(F148&lt;=0,"OUT OF STOCK",IF(F148&lt;=G148,"REORDER NOW","OK")))</f>
        <v/>
      </c>
      <c r="I148" s="6" t="n"/>
      <c r="J148" s="6" t="n"/>
      <c r="K148">
        <f>IF(B148="","",F148*I148)</f>
        <v/>
      </c>
      <c r="L148">
        <f>IF(B148="","",J148-I148)</f>
        <v/>
      </c>
    </row>
    <row r="149">
      <c r="A149" s="6" t="n"/>
      <c r="B149" s="6" t="n"/>
      <c r="C149" s="6" t="n"/>
      <c r="D149" s="6" t="n"/>
      <c r="E149" s="6" t="n"/>
      <c r="F149">
        <f>IF(B149="","",C149+D149-E149)</f>
        <v/>
      </c>
      <c r="G149" s="6" t="n"/>
      <c r="H149">
        <f>IF(B149="","",IF(F149&lt;=0,"OUT OF STOCK",IF(F149&lt;=G149,"REORDER NOW","OK")))</f>
        <v/>
      </c>
      <c r="I149" s="6" t="n"/>
      <c r="J149" s="6" t="n"/>
      <c r="K149">
        <f>IF(B149="","",F149*I149)</f>
        <v/>
      </c>
      <c r="L149">
        <f>IF(B149="","",J149-I149)</f>
        <v/>
      </c>
    </row>
    <row r="150">
      <c r="A150" s="6" t="n"/>
      <c r="B150" s="6" t="n"/>
      <c r="C150" s="6" t="n"/>
      <c r="D150" s="6" t="n"/>
      <c r="E150" s="6" t="n"/>
      <c r="F150">
        <f>IF(B150="","",C150+D150-E150)</f>
        <v/>
      </c>
      <c r="G150" s="6" t="n"/>
      <c r="H150">
        <f>IF(B150="","",IF(F150&lt;=0,"OUT OF STOCK",IF(F150&lt;=G150,"REORDER NOW","OK")))</f>
        <v/>
      </c>
      <c r="I150" s="6" t="n"/>
      <c r="J150" s="6" t="n"/>
      <c r="K150">
        <f>IF(B150="","",F150*I150)</f>
        <v/>
      </c>
      <c r="L150">
        <f>IF(B150="","",J150-I150)</f>
        <v/>
      </c>
    </row>
    <row r="151">
      <c r="A151" s="6" t="n"/>
      <c r="B151" s="6" t="n"/>
      <c r="C151" s="6" t="n"/>
      <c r="D151" s="6" t="n"/>
      <c r="E151" s="6" t="n"/>
      <c r="F151">
        <f>IF(B151="","",C151+D151-E151)</f>
        <v/>
      </c>
      <c r="G151" s="6" t="n"/>
      <c r="H151">
        <f>IF(B151="","",IF(F151&lt;=0,"OUT OF STOCK",IF(F151&lt;=G151,"REORDER NOW","OK")))</f>
        <v/>
      </c>
      <c r="I151" s="6" t="n"/>
      <c r="J151" s="6" t="n"/>
      <c r="K151">
        <f>IF(B151="","",F151*I151)</f>
        <v/>
      </c>
      <c r="L151">
        <f>IF(B151="","",J151-I151)</f>
        <v/>
      </c>
    </row>
    <row r="152">
      <c r="A152" s="6" t="n"/>
      <c r="B152" s="6" t="n"/>
      <c r="C152" s="6" t="n"/>
      <c r="D152" s="6" t="n"/>
      <c r="E152" s="6" t="n"/>
      <c r="F152">
        <f>IF(B152="","",C152+D152-E152)</f>
        <v/>
      </c>
      <c r="G152" s="6" t="n"/>
      <c r="H152">
        <f>IF(B152="","",IF(F152&lt;=0,"OUT OF STOCK",IF(F152&lt;=G152,"REORDER NOW","OK")))</f>
        <v/>
      </c>
      <c r="I152" s="6" t="n"/>
      <c r="J152" s="6" t="n"/>
      <c r="K152">
        <f>IF(B152="","",F152*I152)</f>
        <v/>
      </c>
      <c r="L152">
        <f>IF(B152="","",J152-I152)</f>
        <v/>
      </c>
    </row>
    <row r="153">
      <c r="A153" s="6" t="n"/>
      <c r="B153" s="6" t="n"/>
      <c r="C153" s="6" t="n"/>
      <c r="D153" s="6" t="n"/>
      <c r="E153" s="6" t="n"/>
      <c r="F153">
        <f>IF(B153="","",C153+D153-E153)</f>
        <v/>
      </c>
      <c r="G153" s="6" t="n"/>
      <c r="H153">
        <f>IF(B153="","",IF(F153&lt;=0,"OUT OF STOCK",IF(F153&lt;=G153,"REORDER NOW","OK")))</f>
        <v/>
      </c>
      <c r="I153" s="6" t="n"/>
      <c r="J153" s="6" t="n"/>
      <c r="K153">
        <f>IF(B153="","",F153*I153)</f>
        <v/>
      </c>
      <c r="L153">
        <f>IF(B153="","",J153-I153)</f>
        <v/>
      </c>
    </row>
    <row r="154">
      <c r="A154" s="6" t="n"/>
      <c r="B154" s="6" t="n"/>
      <c r="C154" s="6" t="n"/>
      <c r="D154" s="6" t="n"/>
      <c r="E154" s="6" t="n"/>
      <c r="F154">
        <f>IF(B154="","",C154+D154-E154)</f>
        <v/>
      </c>
      <c r="G154" s="6" t="n"/>
      <c r="H154">
        <f>IF(B154="","",IF(F154&lt;=0,"OUT OF STOCK",IF(F154&lt;=G154,"REORDER NOW","OK")))</f>
        <v/>
      </c>
      <c r="I154" s="6" t="n"/>
      <c r="J154" s="6" t="n"/>
      <c r="K154">
        <f>IF(B154="","",F154*I154)</f>
        <v/>
      </c>
      <c r="L154">
        <f>IF(B154="","",J154-I154)</f>
        <v/>
      </c>
    </row>
    <row r="155">
      <c r="A155" s="6" t="n"/>
      <c r="B155" s="6" t="n"/>
      <c r="C155" s="6" t="n"/>
      <c r="D155" s="6" t="n"/>
      <c r="E155" s="6" t="n"/>
      <c r="F155">
        <f>IF(B155="","",C155+D155-E155)</f>
        <v/>
      </c>
      <c r="G155" s="6" t="n"/>
      <c r="H155">
        <f>IF(B155="","",IF(F155&lt;=0,"OUT OF STOCK",IF(F155&lt;=G155,"REORDER NOW","OK")))</f>
        <v/>
      </c>
      <c r="I155" s="6" t="n"/>
      <c r="J155" s="6" t="n"/>
      <c r="K155">
        <f>IF(B155="","",F155*I155)</f>
        <v/>
      </c>
      <c r="L155">
        <f>IF(B155="","",J155-I155)</f>
        <v/>
      </c>
    </row>
    <row r="156">
      <c r="A156" s="6" t="n"/>
      <c r="B156" s="6" t="n"/>
      <c r="C156" s="6" t="n"/>
      <c r="D156" s="6" t="n"/>
      <c r="E156" s="6" t="n"/>
      <c r="F156">
        <f>IF(B156="","",C156+D156-E156)</f>
        <v/>
      </c>
      <c r="G156" s="6" t="n"/>
      <c r="H156">
        <f>IF(B156="","",IF(F156&lt;=0,"OUT OF STOCK",IF(F156&lt;=G156,"REORDER NOW","OK")))</f>
        <v/>
      </c>
      <c r="I156" s="6" t="n"/>
      <c r="J156" s="6" t="n"/>
      <c r="K156">
        <f>IF(B156="","",F156*I156)</f>
        <v/>
      </c>
      <c r="L156">
        <f>IF(B156="","",J156-I156)</f>
        <v/>
      </c>
    </row>
    <row r="157">
      <c r="A157" s="6" t="n"/>
      <c r="B157" s="6" t="n"/>
      <c r="C157" s="6" t="n"/>
      <c r="D157" s="6" t="n"/>
      <c r="E157" s="6" t="n"/>
      <c r="F157">
        <f>IF(B157="","",C157+D157-E157)</f>
        <v/>
      </c>
      <c r="G157" s="6" t="n"/>
      <c r="H157">
        <f>IF(B157="","",IF(F157&lt;=0,"OUT OF STOCK",IF(F157&lt;=G157,"REORDER NOW","OK")))</f>
        <v/>
      </c>
      <c r="I157" s="6" t="n"/>
      <c r="J157" s="6" t="n"/>
      <c r="K157">
        <f>IF(B157="","",F157*I157)</f>
        <v/>
      </c>
      <c r="L157">
        <f>IF(B157="","",J157-I157)</f>
        <v/>
      </c>
    </row>
    <row r="158">
      <c r="A158" s="6" t="n"/>
      <c r="B158" s="6" t="n"/>
      <c r="C158" s="6" t="n"/>
      <c r="D158" s="6" t="n"/>
      <c r="E158" s="6" t="n"/>
      <c r="F158">
        <f>IF(B158="","",C158+D158-E158)</f>
        <v/>
      </c>
      <c r="G158" s="6" t="n"/>
      <c r="H158">
        <f>IF(B158="","",IF(F158&lt;=0,"OUT OF STOCK",IF(F158&lt;=G158,"REORDER NOW","OK")))</f>
        <v/>
      </c>
      <c r="I158" s="6" t="n"/>
      <c r="J158" s="6" t="n"/>
      <c r="K158">
        <f>IF(B158="","",F158*I158)</f>
        <v/>
      </c>
      <c r="L158">
        <f>IF(B158="","",J158-I158)</f>
        <v/>
      </c>
    </row>
    <row r="159">
      <c r="A159" s="6" t="n"/>
      <c r="B159" s="6" t="n"/>
      <c r="C159" s="6" t="n"/>
      <c r="D159" s="6" t="n"/>
      <c r="E159" s="6" t="n"/>
      <c r="F159">
        <f>IF(B159="","",C159+D159-E159)</f>
        <v/>
      </c>
      <c r="G159" s="6" t="n"/>
      <c r="H159">
        <f>IF(B159="","",IF(F159&lt;=0,"OUT OF STOCK",IF(F159&lt;=G159,"REORDER NOW","OK")))</f>
        <v/>
      </c>
      <c r="I159" s="6" t="n"/>
      <c r="J159" s="6" t="n"/>
      <c r="K159">
        <f>IF(B159="","",F159*I159)</f>
        <v/>
      </c>
      <c r="L159">
        <f>IF(B159="","",J159-I159)</f>
        <v/>
      </c>
    </row>
    <row r="160">
      <c r="A160" s="6" t="n"/>
      <c r="B160" s="6" t="n"/>
      <c r="C160" s="6" t="n"/>
      <c r="D160" s="6" t="n"/>
      <c r="E160" s="6" t="n"/>
      <c r="F160">
        <f>IF(B160="","",C160+D160-E160)</f>
        <v/>
      </c>
      <c r="G160" s="6" t="n"/>
      <c r="H160">
        <f>IF(B160="","",IF(F160&lt;=0,"OUT OF STOCK",IF(F160&lt;=G160,"REORDER NOW","OK")))</f>
        <v/>
      </c>
      <c r="I160" s="6" t="n"/>
      <c r="J160" s="6" t="n"/>
      <c r="K160">
        <f>IF(B160="","",F160*I160)</f>
        <v/>
      </c>
      <c r="L160">
        <f>IF(B160="","",J160-I160)</f>
        <v/>
      </c>
    </row>
    <row r="161">
      <c r="A161" s="6" t="n"/>
      <c r="B161" s="6" t="n"/>
      <c r="C161" s="6" t="n"/>
      <c r="D161" s="6" t="n"/>
      <c r="E161" s="6" t="n"/>
      <c r="F161">
        <f>IF(B161="","",C161+D161-E161)</f>
        <v/>
      </c>
      <c r="G161" s="6" t="n"/>
      <c r="H161">
        <f>IF(B161="","",IF(F161&lt;=0,"OUT OF STOCK",IF(F161&lt;=G161,"REORDER NOW","OK")))</f>
        <v/>
      </c>
      <c r="I161" s="6" t="n"/>
      <c r="J161" s="6" t="n"/>
      <c r="K161">
        <f>IF(B161="","",F161*I161)</f>
        <v/>
      </c>
      <c r="L161">
        <f>IF(B161="","",J161-I161)</f>
        <v/>
      </c>
    </row>
    <row r="162">
      <c r="A162" s="6" t="n"/>
      <c r="B162" s="6" t="n"/>
      <c r="C162" s="6" t="n"/>
      <c r="D162" s="6" t="n"/>
      <c r="E162" s="6" t="n"/>
      <c r="F162">
        <f>IF(B162="","",C162+D162-E162)</f>
        <v/>
      </c>
      <c r="G162" s="6" t="n"/>
      <c r="H162">
        <f>IF(B162="","",IF(F162&lt;=0,"OUT OF STOCK",IF(F162&lt;=G162,"REORDER NOW","OK")))</f>
        <v/>
      </c>
      <c r="I162" s="6" t="n"/>
      <c r="J162" s="6" t="n"/>
      <c r="K162">
        <f>IF(B162="","",F162*I162)</f>
        <v/>
      </c>
      <c r="L162">
        <f>IF(B162="","",J162-I162)</f>
        <v/>
      </c>
    </row>
    <row r="163">
      <c r="A163" s="6" t="n"/>
      <c r="B163" s="6" t="n"/>
      <c r="C163" s="6" t="n"/>
      <c r="D163" s="6" t="n"/>
      <c r="E163" s="6" t="n"/>
      <c r="F163">
        <f>IF(B163="","",C163+D163-E163)</f>
        <v/>
      </c>
      <c r="G163" s="6" t="n"/>
      <c r="H163">
        <f>IF(B163="","",IF(F163&lt;=0,"OUT OF STOCK",IF(F163&lt;=G163,"REORDER NOW","OK")))</f>
        <v/>
      </c>
      <c r="I163" s="6" t="n"/>
      <c r="J163" s="6" t="n"/>
      <c r="K163">
        <f>IF(B163="","",F163*I163)</f>
        <v/>
      </c>
      <c r="L163">
        <f>IF(B163="","",J163-I163)</f>
        <v/>
      </c>
    </row>
    <row r="164">
      <c r="A164" s="6" t="n"/>
      <c r="B164" s="6" t="n"/>
      <c r="C164" s="6" t="n"/>
      <c r="D164" s="6" t="n"/>
      <c r="E164" s="6" t="n"/>
      <c r="F164">
        <f>IF(B164="","",C164+D164-E164)</f>
        <v/>
      </c>
      <c r="G164" s="6" t="n"/>
      <c r="H164">
        <f>IF(B164="","",IF(F164&lt;=0,"OUT OF STOCK",IF(F164&lt;=G164,"REORDER NOW","OK")))</f>
        <v/>
      </c>
      <c r="I164" s="6" t="n"/>
      <c r="J164" s="6" t="n"/>
      <c r="K164">
        <f>IF(B164="","",F164*I164)</f>
        <v/>
      </c>
      <c r="L164">
        <f>IF(B164="","",J164-I164)</f>
        <v/>
      </c>
    </row>
    <row r="165">
      <c r="A165" s="6" t="n"/>
      <c r="B165" s="6" t="n"/>
      <c r="C165" s="6" t="n"/>
      <c r="D165" s="6" t="n"/>
      <c r="E165" s="6" t="n"/>
      <c r="F165">
        <f>IF(B165="","",C165+D165-E165)</f>
        <v/>
      </c>
      <c r="G165" s="6" t="n"/>
      <c r="H165">
        <f>IF(B165="","",IF(F165&lt;=0,"OUT OF STOCK",IF(F165&lt;=G165,"REORDER NOW","OK")))</f>
        <v/>
      </c>
      <c r="I165" s="6" t="n"/>
      <c r="J165" s="6" t="n"/>
      <c r="K165">
        <f>IF(B165="","",F165*I165)</f>
        <v/>
      </c>
      <c r="L165">
        <f>IF(B165="","",J165-I165)</f>
        <v/>
      </c>
    </row>
    <row r="166">
      <c r="A166" s="6" t="n"/>
      <c r="B166" s="6" t="n"/>
      <c r="C166" s="6" t="n"/>
      <c r="D166" s="6" t="n"/>
      <c r="E166" s="6" t="n"/>
      <c r="F166">
        <f>IF(B166="","",C166+D166-E166)</f>
        <v/>
      </c>
      <c r="G166" s="6" t="n"/>
      <c r="H166">
        <f>IF(B166="","",IF(F166&lt;=0,"OUT OF STOCK",IF(F166&lt;=G166,"REORDER NOW","OK")))</f>
        <v/>
      </c>
      <c r="I166" s="6" t="n"/>
      <c r="J166" s="6" t="n"/>
      <c r="K166">
        <f>IF(B166="","",F166*I166)</f>
        <v/>
      </c>
      <c r="L166">
        <f>IF(B166="","",J166-I166)</f>
        <v/>
      </c>
    </row>
    <row r="167">
      <c r="A167" s="6" t="n"/>
      <c r="B167" s="6" t="n"/>
      <c r="C167" s="6" t="n"/>
      <c r="D167" s="6" t="n"/>
      <c r="E167" s="6" t="n"/>
      <c r="F167">
        <f>IF(B167="","",C167+D167-E167)</f>
        <v/>
      </c>
      <c r="G167" s="6" t="n"/>
      <c r="H167">
        <f>IF(B167="","",IF(F167&lt;=0,"OUT OF STOCK",IF(F167&lt;=G167,"REORDER NOW","OK")))</f>
        <v/>
      </c>
      <c r="I167" s="6" t="n"/>
      <c r="J167" s="6" t="n"/>
      <c r="K167">
        <f>IF(B167="","",F167*I167)</f>
        <v/>
      </c>
      <c r="L167">
        <f>IF(B167="","",J167-I167)</f>
        <v/>
      </c>
    </row>
    <row r="168">
      <c r="A168" s="6" t="n"/>
      <c r="B168" s="6" t="n"/>
      <c r="C168" s="6" t="n"/>
      <c r="D168" s="6" t="n"/>
      <c r="E168" s="6" t="n"/>
      <c r="F168">
        <f>IF(B168="","",C168+D168-E168)</f>
        <v/>
      </c>
      <c r="G168" s="6" t="n"/>
      <c r="H168">
        <f>IF(B168="","",IF(F168&lt;=0,"OUT OF STOCK",IF(F168&lt;=G168,"REORDER NOW","OK")))</f>
        <v/>
      </c>
      <c r="I168" s="6" t="n"/>
      <c r="J168" s="6" t="n"/>
      <c r="K168">
        <f>IF(B168="","",F168*I168)</f>
        <v/>
      </c>
      <c r="L168">
        <f>IF(B168="","",J168-I168)</f>
        <v/>
      </c>
    </row>
    <row r="169">
      <c r="A169" s="6" t="n"/>
      <c r="B169" s="6" t="n"/>
      <c r="C169" s="6" t="n"/>
      <c r="D169" s="6" t="n"/>
      <c r="E169" s="6" t="n"/>
      <c r="F169">
        <f>IF(B169="","",C169+D169-E169)</f>
        <v/>
      </c>
      <c r="G169" s="6" t="n"/>
      <c r="H169">
        <f>IF(B169="","",IF(F169&lt;=0,"OUT OF STOCK",IF(F169&lt;=G169,"REORDER NOW","OK")))</f>
        <v/>
      </c>
      <c r="I169" s="6" t="n"/>
      <c r="J169" s="6" t="n"/>
      <c r="K169">
        <f>IF(B169="","",F169*I169)</f>
        <v/>
      </c>
      <c r="L169">
        <f>IF(B169="","",J169-I169)</f>
        <v/>
      </c>
    </row>
    <row r="170">
      <c r="A170" s="6" t="n"/>
      <c r="B170" s="6" t="n"/>
      <c r="C170" s="6" t="n"/>
      <c r="D170" s="6" t="n"/>
      <c r="E170" s="6" t="n"/>
      <c r="F170">
        <f>IF(B170="","",C170+D170-E170)</f>
        <v/>
      </c>
      <c r="G170" s="6" t="n"/>
      <c r="H170">
        <f>IF(B170="","",IF(F170&lt;=0,"OUT OF STOCK",IF(F170&lt;=G170,"REORDER NOW","OK")))</f>
        <v/>
      </c>
      <c r="I170" s="6" t="n"/>
      <c r="J170" s="6" t="n"/>
      <c r="K170">
        <f>IF(B170="","",F170*I170)</f>
        <v/>
      </c>
      <c r="L170">
        <f>IF(B170="","",J170-I170)</f>
        <v/>
      </c>
    </row>
    <row r="171">
      <c r="A171" s="6" t="n"/>
      <c r="B171" s="6" t="n"/>
      <c r="C171" s="6" t="n"/>
      <c r="D171" s="6" t="n"/>
      <c r="E171" s="6" t="n"/>
      <c r="F171">
        <f>IF(B171="","",C171+D171-E171)</f>
        <v/>
      </c>
      <c r="G171" s="6" t="n"/>
      <c r="H171">
        <f>IF(B171="","",IF(F171&lt;=0,"OUT OF STOCK",IF(F171&lt;=G171,"REORDER NOW","OK")))</f>
        <v/>
      </c>
      <c r="I171" s="6" t="n"/>
      <c r="J171" s="6" t="n"/>
      <c r="K171">
        <f>IF(B171="","",F171*I171)</f>
        <v/>
      </c>
      <c r="L171">
        <f>IF(B171="","",J171-I171)</f>
        <v/>
      </c>
    </row>
    <row r="172">
      <c r="A172" s="6" t="n"/>
      <c r="B172" s="6" t="n"/>
      <c r="C172" s="6" t="n"/>
      <c r="D172" s="6" t="n"/>
      <c r="E172" s="6" t="n"/>
      <c r="F172">
        <f>IF(B172="","",C172+D172-E172)</f>
        <v/>
      </c>
      <c r="G172" s="6" t="n"/>
      <c r="H172">
        <f>IF(B172="","",IF(F172&lt;=0,"OUT OF STOCK",IF(F172&lt;=G172,"REORDER NOW","OK")))</f>
        <v/>
      </c>
      <c r="I172" s="6" t="n"/>
      <c r="J172" s="6" t="n"/>
      <c r="K172">
        <f>IF(B172="","",F172*I172)</f>
        <v/>
      </c>
      <c r="L172">
        <f>IF(B172="","",J172-I172)</f>
        <v/>
      </c>
    </row>
    <row r="173">
      <c r="A173" s="6" t="n"/>
      <c r="B173" s="6" t="n"/>
      <c r="C173" s="6" t="n"/>
      <c r="D173" s="6" t="n"/>
      <c r="E173" s="6" t="n"/>
      <c r="F173">
        <f>IF(B173="","",C173+D173-E173)</f>
        <v/>
      </c>
      <c r="G173" s="6" t="n"/>
      <c r="H173">
        <f>IF(B173="","",IF(F173&lt;=0,"OUT OF STOCK",IF(F173&lt;=G173,"REORDER NOW","OK")))</f>
        <v/>
      </c>
      <c r="I173" s="6" t="n"/>
      <c r="J173" s="6" t="n"/>
      <c r="K173">
        <f>IF(B173="","",F173*I173)</f>
        <v/>
      </c>
      <c r="L173">
        <f>IF(B173="","",J173-I173)</f>
        <v/>
      </c>
    </row>
    <row r="174">
      <c r="A174" s="6" t="n"/>
      <c r="B174" s="6" t="n"/>
      <c r="C174" s="6" t="n"/>
      <c r="D174" s="6" t="n"/>
      <c r="E174" s="6" t="n"/>
      <c r="F174">
        <f>IF(B174="","",C174+D174-E174)</f>
        <v/>
      </c>
      <c r="G174" s="6" t="n"/>
      <c r="H174">
        <f>IF(B174="","",IF(F174&lt;=0,"OUT OF STOCK",IF(F174&lt;=G174,"REORDER NOW","OK")))</f>
        <v/>
      </c>
      <c r="I174" s="6" t="n"/>
      <c r="J174" s="6" t="n"/>
      <c r="K174">
        <f>IF(B174="","",F174*I174)</f>
        <v/>
      </c>
      <c r="L174">
        <f>IF(B174="","",J174-I174)</f>
        <v/>
      </c>
    </row>
    <row r="175">
      <c r="A175" s="6" t="n"/>
      <c r="B175" s="6" t="n"/>
      <c r="C175" s="6" t="n"/>
      <c r="D175" s="6" t="n"/>
      <c r="E175" s="6" t="n"/>
      <c r="F175">
        <f>IF(B175="","",C175+D175-E175)</f>
        <v/>
      </c>
      <c r="G175" s="6" t="n"/>
      <c r="H175">
        <f>IF(B175="","",IF(F175&lt;=0,"OUT OF STOCK",IF(F175&lt;=G175,"REORDER NOW","OK")))</f>
        <v/>
      </c>
      <c r="I175" s="6" t="n"/>
      <c r="J175" s="6" t="n"/>
      <c r="K175">
        <f>IF(B175="","",F175*I175)</f>
        <v/>
      </c>
      <c r="L175">
        <f>IF(B175="","",J175-I175)</f>
        <v/>
      </c>
    </row>
    <row r="176">
      <c r="A176" s="6" t="n"/>
      <c r="B176" s="6" t="n"/>
      <c r="C176" s="6" t="n"/>
      <c r="D176" s="6" t="n"/>
      <c r="E176" s="6" t="n"/>
      <c r="F176">
        <f>IF(B176="","",C176+D176-E176)</f>
        <v/>
      </c>
      <c r="G176" s="6" t="n"/>
      <c r="H176">
        <f>IF(B176="","",IF(F176&lt;=0,"OUT OF STOCK",IF(F176&lt;=G176,"REORDER NOW","OK")))</f>
        <v/>
      </c>
      <c r="I176" s="6" t="n"/>
      <c r="J176" s="6" t="n"/>
      <c r="K176">
        <f>IF(B176="","",F176*I176)</f>
        <v/>
      </c>
      <c r="L176">
        <f>IF(B176="","",J176-I176)</f>
        <v/>
      </c>
    </row>
    <row r="177">
      <c r="A177" s="6" t="n"/>
      <c r="B177" s="6" t="n"/>
      <c r="C177" s="6" t="n"/>
      <c r="D177" s="6" t="n"/>
      <c r="E177" s="6" t="n"/>
      <c r="F177">
        <f>IF(B177="","",C177+D177-E177)</f>
        <v/>
      </c>
      <c r="G177" s="6" t="n"/>
      <c r="H177">
        <f>IF(B177="","",IF(F177&lt;=0,"OUT OF STOCK",IF(F177&lt;=G177,"REORDER NOW","OK")))</f>
        <v/>
      </c>
      <c r="I177" s="6" t="n"/>
      <c r="J177" s="6" t="n"/>
      <c r="K177">
        <f>IF(B177="","",F177*I177)</f>
        <v/>
      </c>
      <c r="L177">
        <f>IF(B177="","",J177-I177)</f>
        <v/>
      </c>
    </row>
    <row r="178">
      <c r="A178" s="6" t="n"/>
      <c r="B178" s="6" t="n"/>
      <c r="C178" s="6" t="n"/>
      <c r="D178" s="6" t="n"/>
      <c r="E178" s="6" t="n"/>
      <c r="F178">
        <f>IF(B178="","",C178+D178-E178)</f>
        <v/>
      </c>
      <c r="G178" s="6" t="n"/>
      <c r="H178">
        <f>IF(B178="","",IF(F178&lt;=0,"OUT OF STOCK",IF(F178&lt;=G178,"REORDER NOW","OK")))</f>
        <v/>
      </c>
      <c r="I178" s="6" t="n"/>
      <c r="J178" s="6" t="n"/>
      <c r="K178">
        <f>IF(B178="","",F178*I178)</f>
        <v/>
      </c>
      <c r="L178">
        <f>IF(B178="","",J178-I178)</f>
        <v/>
      </c>
    </row>
    <row r="179">
      <c r="A179" s="6" t="n"/>
      <c r="B179" s="6" t="n"/>
      <c r="C179" s="6" t="n"/>
      <c r="D179" s="6" t="n"/>
      <c r="E179" s="6" t="n"/>
      <c r="F179">
        <f>IF(B179="","",C179+D179-E179)</f>
        <v/>
      </c>
      <c r="G179" s="6" t="n"/>
      <c r="H179">
        <f>IF(B179="","",IF(F179&lt;=0,"OUT OF STOCK",IF(F179&lt;=G179,"REORDER NOW","OK")))</f>
        <v/>
      </c>
      <c r="I179" s="6" t="n"/>
      <c r="J179" s="6" t="n"/>
      <c r="K179">
        <f>IF(B179="","",F179*I179)</f>
        <v/>
      </c>
      <c r="L179">
        <f>IF(B179="","",J179-I179)</f>
        <v/>
      </c>
    </row>
    <row r="180">
      <c r="A180" s="6" t="n"/>
      <c r="B180" s="6" t="n"/>
      <c r="C180" s="6" t="n"/>
      <c r="D180" s="6" t="n"/>
      <c r="E180" s="6" t="n"/>
      <c r="F180">
        <f>IF(B180="","",C180+D180-E180)</f>
        <v/>
      </c>
      <c r="G180" s="6" t="n"/>
      <c r="H180">
        <f>IF(B180="","",IF(F180&lt;=0,"OUT OF STOCK",IF(F180&lt;=G180,"REORDER NOW","OK")))</f>
        <v/>
      </c>
      <c r="I180" s="6" t="n"/>
      <c r="J180" s="6" t="n"/>
      <c r="K180">
        <f>IF(B180="","",F180*I180)</f>
        <v/>
      </c>
      <c r="L180">
        <f>IF(B180="","",J180-I180)</f>
        <v/>
      </c>
    </row>
    <row r="181">
      <c r="A181" s="6" t="n"/>
      <c r="B181" s="6" t="n"/>
      <c r="C181" s="6" t="n"/>
      <c r="D181" s="6" t="n"/>
      <c r="E181" s="6" t="n"/>
      <c r="F181">
        <f>IF(B181="","",C181+D181-E181)</f>
        <v/>
      </c>
      <c r="G181" s="6" t="n"/>
      <c r="H181">
        <f>IF(B181="","",IF(F181&lt;=0,"OUT OF STOCK",IF(F181&lt;=G181,"REORDER NOW","OK")))</f>
        <v/>
      </c>
      <c r="I181" s="6" t="n"/>
      <c r="J181" s="6" t="n"/>
      <c r="K181">
        <f>IF(B181="","",F181*I181)</f>
        <v/>
      </c>
      <c r="L181">
        <f>IF(B181="","",J181-I181)</f>
        <v/>
      </c>
    </row>
    <row r="182">
      <c r="A182" s="6" t="n"/>
      <c r="B182" s="6" t="n"/>
      <c r="C182" s="6" t="n"/>
      <c r="D182" s="6" t="n"/>
      <c r="E182" s="6" t="n"/>
      <c r="F182">
        <f>IF(B182="","",C182+D182-E182)</f>
        <v/>
      </c>
      <c r="G182" s="6" t="n"/>
      <c r="H182">
        <f>IF(B182="","",IF(F182&lt;=0,"OUT OF STOCK",IF(F182&lt;=G182,"REORDER NOW","OK")))</f>
        <v/>
      </c>
      <c r="I182" s="6" t="n"/>
      <c r="J182" s="6" t="n"/>
      <c r="K182">
        <f>IF(B182="","",F182*I182)</f>
        <v/>
      </c>
      <c r="L182">
        <f>IF(B182="","",J182-I182)</f>
        <v/>
      </c>
    </row>
    <row r="183">
      <c r="A183" s="6" t="n"/>
      <c r="B183" s="6" t="n"/>
      <c r="C183" s="6" t="n"/>
      <c r="D183" s="6" t="n"/>
      <c r="E183" s="6" t="n"/>
      <c r="F183">
        <f>IF(B183="","",C183+D183-E183)</f>
        <v/>
      </c>
      <c r="G183" s="6" t="n"/>
      <c r="H183">
        <f>IF(B183="","",IF(F183&lt;=0,"OUT OF STOCK",IF(F183&lt;=G183,"REORDER NOW","OK")))</f>
        <v/>
      </c>
      <c r="I183" s="6" t="n"/>
      <c r="J183" s="6" t="n"/>
      <c r="K183">
        <f>IF(B183="","",F183*I183)</f>
        <v/>
      </c>
      <c r="L183">
        <f>IF(B183="","",J183-I183)</f>
        <v/>
      </c>
    </row>
    <row r="184">
      <c r="A184" s="6" t="n"/>
      <c r="B184" s="6" t="n"/>
      <c r="C184" s="6" t="n"/>
      <c r="D184" s="6" t="n"/>
      <c r="E184" s="6" t="n"/>
      <c r="F184">
        <f>IF(B184="","",C184+D184-E184)</f>
        <v/>
      </c>
      <c r="G184" s="6" t="n"/>
      <c r="H184">
        <f>IF(B184="","",IF(F184&lt;=0,"OUT OF STOCK",IF(F184&lt;=G184,"REORDER NOW","OK")))</f>
        <v/>
      </c>
      <c r="I184" s="6" t="n"/>
      <c r="J184" s="6" t="n"/>
      <c r="K184">
        <f>IF(B184="","",F184*I184)</f>
        <v/>
      </c>
      <c r="L184">
        <f>IF(B184="","",J184-I184)</f>
        <v/>
      </c>
    </row>
    <row r="185">
      <c r="A185" s="6" t="n"/>
      <c r="B185" s="6" t="n"/>
      <c r="C185" s="6" t="n"/>
      <c r="D185" s="6" t="n"/>
      <c r="E185" s="6" t="n"/>
      <c r="F185">
        <f>IF(B185="","",C185+D185-E185)</f>
        <v/>
      </c>
      <c r="G185" s="6" t="n"/>
      <c r="H185">
        <f>IF(B185="","",IF(F185&lt;=0,"OUT OF STOCK",IF(F185&lt;=G185,"REORDER NOW","OK")))</f>
        <v/>
      </c>
      <c r="I185" s="6" t="n"/>
      <c r="J185" s="6" t="n"/>
      <c r="K185">
        <f>IF(B185="","",F185*I185)</f>
        <v/>
      </c>
      <c r="L185">
        <f>IF(B185="","",J185-I185)</f>
        <v/>
      </c>
    </row>
    <row r="186">
      <c r="A186" s="6" t="n"/>
      <c r="B186" s="6" t="n"/>
      <c r="C186" s="6" t="n"/>
      <c r="D186" s="6" t="n"/>
      <c r="E186" s="6" t="n"/>
      <c r="F186">
        <f>IF(B186="","",C186+D186-E186)</f>
        <v/>
      </c>
      <c r="G186" s="6" t="n"/>
      <c r="H186">
        <f>IF(B186="","",IF(F186&lt;=0,"OUT OF STOCK",IF(F186&lt;=G186,"REORDER NOW","OK")))</f>
        <v/>
      </c>
      <c r="I186" s="6" t="n"/>
      <c r="J186" s="6" t="n"/>
      <c r="K186">
        <f>IF(B186="","",F186*I186)</f>
        <v/>
      </c>
      <c r="L186">
        <f>IF(B186="","",J186-I186)</f>
        <v/>
      </c>
    </row>
    <row r="187">
      <c r="A187" s="6" t="n"/>
      <c r="B187" s="6" t="n"/>
      <c r="C187" s="6" t="n"/>
      <c r="D187" s="6" t="n"/>
      <c r="E187" s="6" t="n"/>
      <c r="F187">
        <f>IF(B187="","",C187+D187-E187)</f>
        <v/>
      </c>
      <c r="G187" s="6" t="n"/>
      <c r="H187">
        <f>IF(B187="","",IF(F187&lt;=0,"OUT OF STOCK",IF(F187&lt;=G187,"REORDER NOW","OK")))</f>
        <v/>
      </c>
      <c r="I187" s="6" t="n"/>
      <c r="J187" s="6" t="n"/>
      <c r="K187">
        <f>IF(B187="","",F187*I187)</f>
        <v/>
      </c>
      <c r="L187">
        <f>IF(B187="","",J187-I187)</f>
        <v/>
      </c>
    </row>
    <row r="188">
      <c r="A188" s="6" t="n"/>
      <c r="B188" s="6" t="n"/>
      <c r="C188" s="6" t="n"/>
      <c r="D188" s="6" t="n"/>
      <c r="E188" s="6" t="n"/>
      <c r="F188">
        <f>IF(B188="","",C188+D188-E188)</f>
        <v/>
      </c>
      <c r="G188" s="6" t="n"/>
      <c r="H188">
        <f>IF(B188="","",IF(F188&lt;=0,"OUT OF STOCK",IF(F188&lt;=G188,"REORDER NOW","OK")))</f>
        <v/>
      </c>
      <c r="I188" s="6" t="n"/>
      <c r="J188" s="6" t="n"/>
      <c r="K188">
        <f>IF(B188="","",F188*I188)</f>
        <v/>
      </c>
      <c r="L188">
        <f>IF(B188="","",J188-I188)</f>
        <v/>
      </c>
    </row>
    <row r="189">
      <c r="A189" s="6" t="n"/>
      <c r="B189" s="6" t="n"/>
      <c r="C189" s="6" t="n"/>
      <c r="D189" s="6" t="n"/>
      <c r="E189" s="6" t="n"/>
      <c r="F189">
        <f>IF(B189="","",C189+D189-E189)</f>
        <v/>
      </c>
      <c r="G189" s="6" t="n"/>
      <c r="H189">
        <f>IF(B189="","",IF(F189&lt;=0,"OUT OF STOCK",IF(F189&lt;=G189,"REORDER NOW","OK")))</f>
        <v/>
      </c>
      <c r="I189" s="6" t="n"/>
      <c r="J189" s="6" t="n"/>
      <c r="K189">
        <f>IF(B189="","",F189*I189)</f>
        <v/>
      </c>
      <c r="L189">
        <f>IF(B189="","",J189-I189)</f>
        <v/>
      </c>
    </row>
    <row r="190">
      <c r="A190" s="6" t="n"/>
      <c r="B190" s="6" t="n"/>
      <c r="C190" s="6" t="n"/>
      <c r="D190" s="6" t="n"/>
      <c r="E190" s="6" t="n"/>
      <c r="F190">
        <f>IF(B190="","",C190+D190-E190)</f>
        <v/>
      </c>
      <c r="G190" s="6" t="n"/>
      <c r="H190">
        <f>IF(B190="","",IF(F190&lt;=0,"OUT OF STOCK",IF(F190&lt;=G190,"REORDER NOW","OK")))</f>
        <v/>
      </c>
      <c r="I190" s="6" t="n"/>
      <c r="J190" s="6" t="n"/>
      <c r="K190">
        <f>IF(B190="","",F190*I190)</f>
        <v/>
      </c>
      <c r="L190">
        <f>IF(B190="","",J190-I190)</f>
        <v/>
      </c>
    </row>
    <row r="191">
      <c r="A191" s="6" t="n"/>
      <c r="B191" s="6" t="n"/>
      <c r="C191" s="6" t="n"/>
      <c r="D191" s="6" t="n"/>
      <c r="E191" s="6" t="n"/>
      <c r="F191">
        <f>IF(B191="","",C191+D191-E191)</f>
        <v/>
      </c>
      <c r="G191" s="6" t="n"/>
      <c r="H191">
        <f>IF(B191="","",IF(F191&lt;=0,"OUT OF STOCK",IF(F191&lt;=G191,"REORDER NOW","OK")))</f>
        <v/>
      </c>
      <c r="I191" s="6" t="n"/>
      <c r="J191" s="6" t="n"/>
      <c r="K191">
        <f>IF(B191="","",F191*I191)</f>
        <v/>
      </c>
      <c r="L191">
        <f>IF(B191="","",J191-I191)</f>
        <v/>
      </c>
    </row>
    <row r="192">
      <c r="A192" s="6" t="n"/>
      <c r="B192" s="6" t="n"/>
      <c r="C192" s="6" t="n"/>
      <c r="D192" s="6" t="n"/>
      <c r="E192" s="6" t="n"/>
      <c r="F192">
        <f>IF(B192="","",C192+D192-E192)</f>
        <v/>
      </c>
      <c r="G192" s="6" t="n"/>
      <c r="H192">
        <f>IF(B192="","",IF(F192&lt;=0,"OUT OF STOCK",IF(F192&lt;=G192,"REORDER NOW","OK")))</f>
        <v/>
      </c>
      <c r="I192" s="6" t="n"/>
      <c r="J192" s="6" t="n"/>
      <c r="K192">
        <f>IF(B192="","",F192*I192)</f>
        <v/>
      </c>
      <c r="L192">
        <f>IF(B192="","",J192-I192)</f>
        <v/>
      </c>
    </row>
    <row r="193">
      <c r="A193" s="6" t="n"/>
      <c r="B193" s="6" t="n"/>
      <c r="C193" s="6" t="n"/>
      <c r="D193" s="6" t="n"/>
      <c r="E193" s="6" t="n"/>
      <c r="F193">
        <f>IF(B193="","",C193+D193-E193)</f>
        <v/>
      </c>
      <c r="G193" s="6" t="n"/>
      <c r="H193">
        <f>IF(B193="","",IF(F193&lt;=0,"OUT OF STOCK",IF(F193&lt;=G193,"REORDER NOW","OK")))</f>
        <v/>
      </c>
      <c r="I193" s="6" t="n"/>
      <c r="J193" s="6" t="n"/>
      <c r="K193">
        <f>IF(B193="","",F193*I193)</f>
        <v/>
      </c>
      <c r="L193">
        <f>IF(B193="","",J193-I193)</f>
        <v/>
      </c>
    </row>
    <row r="194">
      <c r="A194" s="6" t="n"/>
      <c r="B194" s="6" t="n"/>
      <c r="C194" s="6" t="n"/>
      <c r="D194" s="6" t="n"/>
      <c r="E194" s="6" t="n"/>
      <c r="F194">
        <f>IF(B194="","",C194+D194-E194)</f>
        <v/>
      </c>
      <c r="G194" s="6" t="n"/>
      <c r="H194">
        <f>IF(B194="","",IF(F194&lt;=0,"OUT OF STOCK",IF(F194&lt;=G194,"REORDER NOW","OK")))</f>
        <v/>
      </c>
      <c r="I194" s="6" t="n"/>
      <c r="J194" s="6" t="n"/>
      <c r="K194">
        <f>IF(B194="","",F194*I194)</f>
        <v/>
      </c>
      <c r="L194">
        <f>IF(B194="","",J194-I194)</f>
        <v/>
      </c>
    </row>
    <row r="195">
      <c r="A195" s="6" t="n"/>
      <c r="B195" s="6" t="n"/>
      <c r="C195" s="6" t="n"/>
      <c r="D195" s="6" t="n"/>
      <c r="E195" s="6" t="n"/>
      <c r="F195">
        <f>IF(B195="","",C195+D195-E195)</f>
        <v/>
      </c>
      <c r="G195" s="6" t="n"/>
      <c r="H195">
        <f>IF(B195="","",IF(F195&lt;=0,"OUT OF STOCK",IF(F195&lt;=G195,"REORDER NOW","OK")))</f>
        <v/>
      </c>
      <c r="I195" s="6" t="n"/>
      <c r="J195" s="6" t="n"/>
      <c r="K195">
        <f>IF(B195="","",F195*I195)</f>
        <v/>
      </c>
      <c r="L195">
        <f>IF(B195="","",J195-I195)</f>
        <v/>
      </c>
    </row>
    <row r="196">
      <c r="A196" s="6" t="n"/>
      <c r="B196" s="6" t="n"/>
      <c r="C196" s="6" t="n"/>
      <c r="D196" s="6" t="n"/>
      <c r="E196" s="6" t="n"/>
      <c r="F196">
        <f>IF(B196="","",C196+D196-E196)</f>
        <v/>
      </c>
      <c r="G196" s="6" t="n"/>
      <c r="H196">
        <f>IF(B196="","",IF(F196&lt;=0,"OUT OF STOCK",IF(F196&lt;=G196,"REORDER NOW","OK")))</f>
        <v/>
      </c>
      <c r="I196" s="6" t="n"/>
      <c r="J196" s="6" t="n"/>
      <c r="K196">
        <f>IF(B196="","",F196*I196)</f>
        <v/>
      </c>
      <c r="L196">
        <f>IF(B196="","",J196-I196)</f>
        <v/>
      </c>
    </row>
    <row r="197">
      <c r="A197" s="6" t="n"/>
      <c r="B197" s="6" t="n"/>
      <c r="C197" s="6" t="n"/>
      <c r="D197" s="6" t="n"/>
      <c r="E197" s="6" t="n"/>
      <c r="F197">
        <f>IF(B197="","",C197+D197-E197)</f>
        <v/>
      </c>
      <c r="G197" s="6" t="n"/>
      <c r="H197">
        <f>IF(B197="","",IF(F197&lt;=0,"OUT OF STOCK",IF(F197&lt;=G197,"REORDER NOW","OK")))</f>
        <v/>
      </c>
      <c r="I197" s="6" t="n"/>
      <c r="J197" s="6" t="n"/>
      <c r="K197">
        <f>IF(B197="","",F197*I197)</f>
        <v/>
      </c>
      <c r="L197">
        <f>IF(B197="","",J197-I197)</f>
        <v/>
      </c>
    </row>
    <row r="198">
      <c r="A198" s="6" t="n"/>
      <c r="B198" s="6" t="n"/>
      <c r="C198" s="6" t="n"/>
      <c r="D198" s="6" t="n"/>
      <c r="E198" s="6" t="n"/>
      <c r="F198">
        <f>IF(B198="","",C198+D198-E198)</f>
        <v/>
      </c>
      <c r="G198" s="6" t="n"/>
      <c r="H198">
        <f>IF(B198="","",IF(F198&lt;=0,"OUT OF STOCK",IF(F198&lt;=G198,"REORDER NOW","OK")))</f>
        <v/>
      </c>
      <c r="I198" s="6" t="n"/>
      <c r="J198" s="6" t="n"/>
      <c r="K198">
        <f>IF(B198="","",F198*I198)</f>
        <v/>
      </c>
      <c r="L198">
        <f>IF(B198="","",J198-I198)</f>
        <v/>
      </c>
    </row>
    <row r="199">
      <c r="A199" s="6" t="n"/>
      <c r="B199" s="6" t="n"/>
      <c r="C199" s="6" t="n"/>
      <c r="D199" s="6" t="n"/>
      <c r="E199" s="6" t="n"/>
      <c r="F199">
        <f>IF(B199="","",C199+D199-E199)</f>
        <v/>
      </c>
      <c r="G199" s="6" t="n"/>
      <c r="H199">
        <f>IF(B199="","",IF(F199&lt;=0,"OUT OF STOCK",IF(F199&lt;=G199,"REORDER NOW","OK")))</f>
        <v/>
      </c>
      <c r="I199" s="6" t="n"/>
      <c r="J199" s="6" t="n"/>
      <c r="K199">
        <f>IF(B199="","",F199*I199)</f>
        <v/>
      </c>
      <c r="L199">
        <f>IF(B199="","",J199-I199)</f>
        <v/>
      </c>
    </row>
    <row r="200">
      <c r="A200" s="6" t="n"/>
      <c r="B200" s="6" t="n"/>
      <c r="C200" s="6" t="n"/>
      <c r="D200" s="6" t="n"/>
      <c r="E200" s="6" t="n"/>
      <c r="F200">
        <f>IF(B200="","",C200+D200-E200)</f>
        <v/>
      </c>
      <c r="G200" s="6" t="n"/>
      <c r="H200">
        <f>IF(B200="","",IF(F200&lt;=0,"OUT OF STOCK",IF(F200&lt;=G200,"REORDER NOW","OK")))</f>
        <v/>
      </c>
      <c r="I200" s="6" t="n"/>
      <c r="J200" s="6" t="n"/>
      <c r="K200">
        <f>IF(B200="","",F200*I200)</f>
        <v/>
      </c>
      <c r="L200">
        <f>IF(B200="","",J200-I200)</f>
        <v/>
      </c>
    </row>
    <row r="201">
      <c r="A201" s="6" t="n"/>
      <c r="B201" s="6" t="n"/>
      <c r="C201" s="6" t="n"/>
      <c r="D201" s="6" t="n"/>
      <c r="E201" s="6" t="n"/>
      <c r="F201">
        <f>IF(B201="","",C201+D201-E201)</f>
        <v/>
      </c>
      <c r="G201" s="6" t="n"/>
      <c r="H201">
        <f>IF(B201="","",IF(F201&lt;=0,"OUT OF STOCK",IF(F201&lt;=G201,"REORDER NOW","OK")))</f>
        <v/>
      </c>
      <c r="I201" s="6" t="n"/>
      <c r="J201" s="6" t="n"/>
      <c r="K201">
        <f>IF(B201="","",F201*I201)</f>
        <v/>
      </c>
      <c r="L201">
        <f>IF(B201="","",J201-I201)</f>
        <v/>
      </c>
    </row>
    <row r="202">
      <c r="A202" s="6" t="n"/>
      <c r="B202" s="6" t="n"/>
      <c r="C202" s="6" t="n"/>
      <c r="D202" s="6" t="n"/>
      <c r="E202" s="6" t="n"/>
      <c r="F202">
        <f>IF(B202="","",C202+D202-E202)</f>
        <v/>
      </c>
      <c r="G202" s="6" t="n"/>
      <c r="H202">
        <f>IF(B202="","",IF(F202&lt;=0,"OUT OF STOCK",IF(F202&lt;=G202,"REORDER NOW","OK")))</f>
        <v/>
      </c>
      <c r="I202" s="6" t="n"/>
      <c r="J202" s="6" t="n"/>
      <c r="K202">
        <f>IF(B202="","",F202*I202)</f>
        <v/>
      </c>
      <c r="L202">
        <f>IF(B202="","",J202-I202)</f>
        <v/>
      </c>
    </row>
    <row r="203">
      <c r="A203" s="6" t="n"/>
      <c r="B203" s="6" t="n"/>
      <c r="C203" s="6" t="n"/>
      <c r="D203" s="6" t="n"/>
      <c r="E203" s="6" t="n"/>
      <c r="F203">
        <f>IF(B203="","",C203+D203-E203)</f>
        <v/>
      </c>
      <c r="G203" s="6" t="n"/>
      <c r="H203">
        <f>IF(B203="","",IF(F203&lt;=0,"OUT OF STOCK",IF(F203&lt;=G203,"REORDER NOW","OK")))</f>
        <v/>
      </c>
      <c r="I203" s="6" t="n"/>
      <c r="J203" s="6" t="n"/>
      <c r="K203">
        <f>IF(B203="","",F203*I203)</f>
        <v/>
      </c>
      <c r="L203">
        <f>IF(B203="","",J203-I203)</f>
        <v/>
      </c>
    </row>
    <row r="204">
      <c r="A204" s="6" t="n"/>
      <c r="B204" s="6" t="n"/>
      <c r="C204" s="6" t="n"/>
      <c r="D204" s="6" t="n"/>
      <c r="E204" s="6" t="n"/>
      <c r="F204">
        <f>IF(B204="","",C204+D204-E204)</f>
        <v/>
      </c>
      <c r="G204" s="6" t="n"/>
      <c r="H204">
        <f>IF(B204="","",IF(F204&lt;=0,"OUT OF STOCK",IF(F204&lt;=G204,"REORDER NOW","OK")))</f>
        <v/>
      </c>
      <c r="I204" s="6" t="n"/>
      <c r="J204" s="6" t="n"/>
      <c r="K204">
        <f>IF(B204="","",F204*I204)</f>
        <v/>
      </c>
      <c r="L204">
        <f>IF(B204="","",J204-I204)</f>
        <v/>
      </c>
    </row>
    <row r="205">
      <c r="A205" s="6" t="n"/>
      <c r="B205" s="6" t="n"/>
      <c r="C205" s="6" t="n"/>
      <c r="D205" s="6" t="n"/>
      <c r="E205" s="6" t="n"/>
      <c r="F205">
        <f>IF(B205="","",C205+D205-E205)</f>
        <v/>
      </c>
      <c r="G205" s="6" t="n"/>
      <c r="H205">
        <f>IF(B205="","",IF(F205&lt;=0,"OUT OF STOCK",IF(F205&lt;=G205,"REORDER NOW","OK")))</f>
        <v/>
      </c>
      <c r="I205" s="6" t="n"/>
      <c r="J205" s="6" t="n"/>
      <c r="K205">
        <f>IF(B205="","",F205*I205)</f>
        <v/>
      </c>
      <c r="L205">
        <f>IF(B205="","",J205-I205)</f>
        <v/>
      </c>
    </row>
    <row r="206">
      <c r="A206" s="6" t="n"/>
      <c r="B206" s="6" t="n"/>
      <c r="C206" s="6" t="n"/>
      <c r="D206" s="6" t="n"/>
      <c r="E206" s="6" t="n"/>
      <c r="F206">
        <f>IF(B206="","",C206+D206-E206)</f>
        <v/>
      </c>
      <c r="G206" s="6" t="n"/>
      <c r="H206">
        <f>IF(B206="","",IF(F206&lt;=0,"OUT OF STOCK",IF(F206&lt;=G206,"REORDER NOW","OK")))</f>
        <v/>
      </c>
      <c r="I206" s="6" t="n"/>
      <c r="J206" s="6" t="n"/>
      <c r="K206">
        <f>IF(B206="","",F206*I206)</f>
        <v/>
      </c>
      <c r="L206">
        <f>IF(B206="","",J206-I206)</f>
        <v/>
      </c>
    </row>
    <row r="207">
      <c r="A207" s="6" t="n"/>
      <c r="B207" s="6" t="n"/>
      <c r="C207" s="6" t="n"/>
      <c r="D207" s="6" t="n"/>
      <c r="E207" s="6" t="n"/>
      <c r="F207">
        <f>IF(B207="","",C207+D207-E207)</f>
        <v/>
      </c>
      <c r="G207" s="6" t="n"/>
      <c r="H207">
        <f>IF(B207="","",IF(F207&lt;=0,"OUT OF STOCK",IF(F207&lt;=G207,"REORDER NOW","OK")))</f>
        <v/>
      </c>
      <c r="I207" s="6" t="n"/>
      <c r="J207" s="6" t="n"/>
      <c r="K207">
        <f>IF(B207="","",F207*I207)</f>
        <v/>
      </c>
      <c r="L207">
        <f>IF(B207="","",J207-I207)</f>
        <v/>
      </c>
    </row>
    <row r="208">
      <c r="A208" s="6" t="n"/>
      <c r="B208" s="6" t="n"/>
      <c r="C208" s="6" t="n"/>
      <c r="D208" s="6" t="n"/>
      <c r="E208" s="6" t="n"/>
      <c r="F208">
        <f>IF(B208="","",C208+D208-E208)</f>
        <v/>
      </c>
      <c r="G208" s="6" t="n"/>
      <c r="H208">
        <f>IF(B208="","",IF(F208&lt;=0,"OUT OF STOCK",IF(F208&lt;=G208,"REORDER NOW","OK")))</f>
        <v/>
      </c>
      <c r="I208" s="6" t="n"/>
      <c r="J208" s="6" t="n"/>
      <c r="K208">
        <f>IF(B208="","",F208*I208)</f>
        <v/>
      </c>
      <c r="L208">
        <f>IF(B208="","",J208-I208)</f>
        <v/>
      </c>
    </row>
    <row r="209">
      <c r="A209" s="6" t="n"/>
      <c r="B209" s="6" t="n"/>
      <c r="C209" s="6" t="n"/>
      <c r="D209" s="6" t="n"/>
      <c r="E209" s="6" t="n"/>
      <c r="F209">
        <f>IF(B209="","",C209+D209-E209)</f>
        <v/>
      </c>
      <c r="G209" s="6" t="n"/>
      <c r="H209">
        <f>IF(B209="","",IF(F209&lt;=0,"OUT OF STOCK",IF(F209&lt;=G209,"REORDER NOW","OK")))</f>
        <v/>
      </c>
      <c r="I209" s="6" t="n"/>
      <c r="J209" s="6" t="n"/>
      <c r="K209">
        <f>IF(B209="","",F209*I209)</f>
        <v/>
      </c>
      <c r="L209">
        <f>IF(B209="","",J209-I209)</f>
        <v/>
      </c>
    </row>
    <row r="210">
      <c r="A210" s="6" t="n"/>
      <c r="B210" s="6" t="n"/>
      <c r="C210" s="6" t="n"/>
      <c r="D210" s="6" t="n"/>
      <c r="E210" s="6" t="n"/>
      <c r="F210">
        <f>IF(B210="","",C210+D210-E210)</f>
        <v/>
      </c>
      <c r="G210" s="6" t="n"/>
      <c r="H210">
        <f>IF(B210="","",IF(F210&lt;=0,"OUT OF STOCK",IF(F210&lt;=G210,"REORDER NOW","OK")))</f>
        <v/>
      </c>
      <c r="I210" s="6" t="n"/>
      <c r="J210" s="6" t="n"/>
      <c r="K210">
        <f>IF(B210="","",F210*I210)</f>
        <v/>
      </c>
      <c r="L210">
        <f>IF(B210="","",J210-I210)</f>
        <v/>
      </c>
    </row>
    <row r="211">
      <c r="A211" s="6" t="n"/>
      <c r="B211" s="6" t="n"/>
      <c r="C211" s="6" t="n"/>
      <c r="D211" s="6" t="n"/>
      <c r="E211" s="6" t="n"/>
      <c r="F211">
        <f>IF(B211="","",C211+D211-E211)</f>
        <v/>
      </c>
      <c r="G211" s="6" t="n"/>
      <c r="H211">
        <f>IF(B211="","",IF(F211&lt;=0,"OUT OF STOCK",IF(F211&lt;=G211,"REORDER NOW","OK")))</f>
        <v/>
      </c>
      <c r="I211" s="6" t="n"/>
      <c r="J211" s="6" t="n"/>
      <c r="K211">
        <f>IF(B211="","",F211*I211)</f>
        <v/>
      </c>
      <c r="L211">
        <f>IF(B211="","",J211-I211)</f>
        <v/>
      </c>
    </row>
    <row r="212">
      <c r="A212" s="6" t="n"/>
      <c r="B212" s="6" t="n"/>
      <c r="C212" s="6" t="n"/>
      <c r="D212" s="6" t="n"/>
      <c r="E212" s="6" t="n"/>
      <c r="F212">
        <f>IF(B212="","",C212+D212-E212)</f>
        <v/>
      </c>
      <c r="G212" s="6" t="n"/>
      <c r="H212">
        <f>IF(B212="","",IF(F212&lt;=0,"OUT OF STOCK",IF(F212&lt;=G212,"REORDER NOW","OK")))</f>
        <v/>
      </c>
      <c r="I212" s="6" t="n"/>
      <c r="J212" s="6" t="n"/>
      <c r="K212">
        <f>IF(B212="","",F212*I212)</f>
        <v/>
      </c>
      <c r="L212">
        <f>IF(B212="","",J212-I212)</f>
        <v/>
      </c>
    </row>
    <row r="213">
      <c r="A213" s="6" t="n"/>
      <c r="B213" s="6" t="n"/>
      <c r="C213" s="6" t="n"/>
      <c r="D213" s="6" t="n"/>
      <c r="E213" s="6" t="n"/>
      <c r="F213">
        <f>IF(B213="","",C213+D213-E213)</f>
        <v/>
      </c>
      <c r="G213" s="6" t="n"/>
      <c r="H213">
        <f>IF(B213="","",IF(F213&lt;=0,"OUT OF STOCK",IF(F213&lt;=G213,"REORDER NOW","OK")))</f>
        <v/>
      </c>
      <c r="I213" s="6" t="n"/>
      <c r="J213" s="6" t="n"/>
      <c r="K213">
        <f>IF(B213="","",F213*I213)</f>
        <v/>
      </c>
      <c r="L213">
        <f>IF(B213="","",J213-I213)</f>
        <v/>
      </c>
    </row>
    <row r="214">
      <c r="A214" s="6" t="n"/>
      <c r="B214" s="6" t="n"/>
      <c r="C214" s="6" t="n"/>
      <c r="D214" s="6" t="n"/>
      <c r="E214" s="6" t="n"/>
      <c r="F214">
        <f>IF(B214="","",C214+D214-E214)</f>
        <v/>
      </c>
      <c r="G214" s="6" t="n"/>
      <c r="H214">
        <f>IF(B214="","",IF(F214&lt;=0,"OUT OF STOCK",IF(F214&lt;=G214,"REORDER NOW","OK")))</f>
        <v/>
      </c>
      <c r="I214" s="6" t="n"/>
      <c r="J214" s="6" t="n"/>
      <c r="K214">
        <f>IF(B214="","",F214*I214)</f>
        <v/>
      </c>
      <c r="L214">
        <f>IF(B214="","",J214-I214)</f>
        <v/>
      </c>
    </row>
    <row r="215">
      <c r="A215" s="6" t="n"/>
      <c r="B215" s="6" t="n"/>
      <c r="C215" s="6" t="n"/>
      <c r="D215" s="6" t="n"/>
      <c r="E215" s="6" t="n"/>
      <c r="F215">
        <f>IF(B215="","",C215+D215-E215)</f>
        <v/>
      </c>
      <c r="G215" s="6" t="n"/>
      <c r="H215">
        <f>IF(B215="","",IF(F215&lt;=0,"OUT OF STOCK",IF(F215&lt;=G215,"REORDER NOW","OK")))</f>
        <v/>
      </c>
      <c r="I215" s="6" t="n"/>
      <c r="J215" s="6" t="n"/>
      <c r="K215">
        <f>IF(B215="","",F215*I215)</f>
        <v/>
      </c>
      <c r="L215">
        <f>IF(B215="","",J215-I215)</f>
        <v/>
      </c>
    </row>
    <row r="216">
      <c r="A216" s="6" t="n"/>
      <c r="B216" s="6" t="n"/>
      <c r="C216" s="6" t="n"/>
      <c r="D216" s="6" t="n"/>
      <c r="E216" s="6" t="n"/>
      <c r="F216">
        <f>IF(B216="","",C216+D216-E216)</f>
        <v/>
      </c>
      <c r="G216" s="6" t="n"/>
      <c r="H216">
        <f>IF(B216="","",IF(F216&lt;=0,"OUT OF STOCK",IF(F216&lt;=G216,"REORDER NOW","OK")))</f>
        <v/>
      </c>
      <c r="I216" s="6" t="n"/>
      <c r="J216" s="6" t="n"/>
      <c r="K216">
        <f>IF(B216="","",F216*I216)</f>
        <v/>
      </c>
      <c r="L216">
        <f>IF(B216="","",J216-I216)</f>
        <v/>
      </c>
    </row>
    <row r="217">
      <c r="A217" s="6" t="n"/>
      <c r="B217" s="6" t="n"/>
      <c r="C217" s="6" t="n"/>
      <c r="D217" s="6" t="n"/>
      <c r="E217" s="6" t="n"/>
      <c r="F217">
        <f>IF(B217="","",C217+D217-E217)</f>
        <v/>
      </c>
      <c r="G217" s="6" t="n"/>
      <c r="H217">
        <f>IF(B217="","",IF(F217&lt;=0,"OUT OF STOCK",IF(F217&lt;=G217,"REORDER NOW","OK")))</f>
        <v/>
      </c>
      <c r="I217" s="6" t="n"/>
      <c r="J217" s="6" t="n"/>
      <c r="K217">
        <f>IF(B217="","",F217*I217)</f>
        <v/>
      </c>
      <c r="L217">
        <f>IF(B217="","",J217-I217)</f>
        <v/>
      </c>
    </row>
    <row r="218">
      <c r="A218" s="6" t="n"/>
      <c r="B218" s="6" t="n"/>
      <c r="C218" s="6" t="n"/>
      <c r="D218" s="6" t="n"/>
      <c r="E218" s="6" t="n"/>
      <c r="F218">
        <f>IF(B218="","",C218+D218-E218)</f>
        <v/>
      </c>
      <c r="G218" s="6" t="n"/>
      <c r="H218">
        <f>IF(B218="","",IF(F218&lt;=0,"OUT OF STOCK",IF(F218&lt;=G218,"REORDER NOW","OK")))</f>
        <v/>
      </c>
      <c r="I218" s="6" t="n"/>
      <c r="J218" s="6" t="n"/>
      <c r="K218">
        <f>IF(B218="","",F218*I218)</f>
        <v/>
      </c>
      <c r="L218">
        <f>IF(B218="","",J218-I218)</f>
        <v/>
      </c>
    </row>
    <row r="219">
      <c r="A219" s="6" t="n"/>
      <c r="B219" s="6" t="n"/>
      <c r="C219" s="6" t="n"/>
      <c r="D219" s="6" t="n"/>
      <c r="E219" s="6" t="n"/>
      <c r="F219">
        <f>IF(B219="","",C219+D219-E219)</f>
        <v/>
      </c>
      <c r="G219" s="6" t="n"/>
      <c r="H219">
        <f>IF(B219="","",IF(F219&lt;=0,"OUT OF STOCK",IF(F219&lt;=G219,"REORDER NOW","OK")))</f>
        <v/>
      </c>
      <c r="I219" s="6" t="n"/>
      <c r="J219" s="6" t="n"/>
      <c r="K219">
        <f>IF(B219="","",F219*I219)</f>
        <v/>
      </c>
      <c r="L219">
        <f>IF(B219="","",J219-I219)</f>
        <v/>
      </c>
    </row>
    <row r="220">
      <c r="A220" s="6" t="n"/>
      <c r="B220" s="6" t="n"/>
      <c r="C220" s="6" t="n"/>
      <c r="D220" s="6" t="n"/>
      <c r="E220" s="6" t="n"/>
      <c r="F220">
        <f>IF(B220="","",C220+D220-E220)</f>
        <v/>
      </c>
      <c r="G220" s="6" t="n"/>
      <c r="H220">
        <f>IF(B220="","",IF(F220&lt;=0,"OUT OF STOCK",IF(F220&lt;=G220,"REORDER NOW","OK")))</f>
        <v/>
      </c>
      <c r="I220" s="6" t="n"/>
      <c r="J220" s="6" t="n"/>
      <c r="K220">
        <f>IF(B220="","",F220*I220)</f>
        <v/>
      </c>
      <c r="L220">
        <f>IF(B220="","",J220-I220)</f>
        <v/>
      </c>
    </row>
    <row r="221">
      <c r="A221" s="6" t="n"/>
      <c r="B221" s="6" t="n"/>
      <c r="C221" s="6" t="n"/>
      <c r="D221" s="6" t="n"/>
      <c r="E221" s="6" t="n"/>
      <c r="F221">
        <f>IF(B221="","",C221+D221-E221)</f>
        <v/>
      </c>
      <c r="G221" s="6" t="n"/>
      <c r="H221">
        <f>IF(B221="","",IF(F221&lt;=0,"OUT OF STOCK",IF(F221&lt;=G221,"REORDER NOW","OK")))</f>
        <v/>
      </c>
      <c r="I221" s="6" t="n"/>
      <c r="J221" s="6" t="n"/>
      <c r="K221">
        <f>IF(B221="","",F221*I221)</f>
        <v/>
      </c>
      <c r="L221">
        <f>IF(B221="","",J221-I221)</f>
        <v/>
      </c>
    </row>
    <row r="222">
      <c r="A222" s="6" t="n"/>
      <c r="B222" s="6" t="n"/>
      <c r="C222" s="6" t="n"/>
      <c r="D222" s="6" t="n"/>
      <c r="E222" s="6" t="n"/>
      <c r="F222">
        <f>IF(B222="","",C222+D222-E222)</f>
        <v/>
      </c>
      <c r="G222" s="6" t="n"/>
      <c r="H222">
        <f>IF(B222="","",IF(F222&lt;=0,"OUT OF STOCK",IF(F222&lt;=G222,"REORDER NOW","OK")))</f>
        <v/>
      </c>
      <c r="I222" s="6" t="n"/>
      <c r="J222" s="6" t="n"/>
      <c r="K222">
        <f>IF(B222="","",F222*I222)</f>
        <v/>
      </c>
      <c r="L222">
        <f>IF(B222="","",J222-I222)</f>
        <v/>
      </c>
    </row>
    <row r="223">
      <c r="A223" s="6" t="n"/>
      <c r="B223" s="6" t="n"/>
      <c r="C223" s="6" t="n"/>
      <c r="D223" s="6" t="n"/>
      <c r="E223" s="6" t="n"/>
      <c r="F223">
        <f>IF(B223="","",C223+D223-E223)</f>
        <v/>
      </c>
      <c r="G223" s="6" t="n"/>
      <c r="H223">
        <f>IF(B223="","",IF(F223&lt;=0,"OUT OF STOCK",IF(F223&lt;=G223,"REORDER NOW","OK")))</f>
        <v/>
      </c>
      <c r="I223" s="6" t="n"/>
      <c r="J223" s="6" t="n"/>
      <c r="K223">
        <f>IF(B223="","",F223*I223)</f>
        <v/>
      </c>
      <c r="L223">
        <f>IF(B223="","",J223-I223)</f>
        <v/>
      </c>
    </row>
    <row r="224">
      <c r="A224" s="6" t="n"/>
      <c r="B224" s="6" t="n"/>
      <c r="C224" s="6" t="n"/>
      <c r="D224" s="6" t="n"/>
      <c r="E224" s="6" t="n"/>
      <c r="F224">
        <f>IF(B224="","",C224+D224-E224)</f>
        <v/>
      </c>
      <c r="G224" s="6" t="n"/>
      <c r="H224">
        <f>IF(B224="","",IF(F224&lt;=0,"OUT OF STOCK",IF(F224&lt;=G224,"REORDER NOW","OK")))</f>
        <v/>
      </c>
      <c r="I224" s="6" t="n"/>
      <c r="J224" s="6" t="n"/>
      <c r="K224">
        <f>IF(B224="","",F224*I224)</f>
        <v/>
      </c>
      <c r="L224">
        <f>IF(B224="","",J224-I224)</f>
        <v/>
      </c>
    </row>
    <row r="225">
      <c r="A225" s="6" t="n"/>
      <c r="B225" s="6" t="n"/>
      <c r="C225" s="6" t="n"/>
      <c r="D225" s="6" t="n"/>
      <c r="E225" s="6" t="n"/>
      <c r="F225">
        <f>IF(B225="","",C225+D225-E225)</f>
        <v/>
      </c>
      <c r="G225" s="6" t="n"/>
      <c r="H225">
        <f>IF(B225="","",IF(F225&lt;=0,"OUT OF STOCK",IF(F225&lt;=G225,"REORDER NOW","OK")))</f>
        <v/>
      </c>
      <c r="I225" s="6" t="n"/>
      <c r="J225" s="6" t="n"/>
      <c r="K225">
        <f>IF(B225="","",F225*I225)</f>
        <v/>
      </c>
      <c r="L225">
        <f>IF(B225="","",J225-I225)</f>
        <v/>
      </c>
    </row>
    <row r="226">
      <c r="A226" s="6" t="n"/>
      <c r="B226" s="6" t="n"/>
      <c r="C226" s="6" t="n"/>
      <c r="D226" s="6" t="n"/>
      <c r="E226" s="6" t="n"/>
      <c r="F226">
        <f>IF(B226="","",C226+D226-E226)</f>
        <v/>
      </c>
      <c r="G226" s="6" t="n"/>
      <c r="H226">
        <f>IF(B226="","",IF(F226&lt;=0,"OUT OF STOCK",IF(F226&lt;=G226,"REORDER NOW","OK")))</f>
        <v/>
      </c>
      <c r="I226" s="6" t="n"/>
      <c r="J226" s="6" t="n"/>
      <c r="K226">
        <f>IF(B226="","",F226*I226)</f>
        <v/>
      </c>
      <c r="L226">
        <f>IF(B226="","",J226-I226)</f>
        <v/>
      </c>
    </row>
    <row r="227">
      <c r="A227" s="6" t="n"/>
      <c r="B227" s="6" t="n"/>
      <c r="C227" s="6" t="n"/>
      <c r="D227" s="6" t="n"/>
      <c r="E227" s="6" t="n"/>
      <c r="F227">
        <f>IF(B227="","",C227+D227-E227)</f>
        <v/>
      </c>
      <c r="G227" s="6" t="n"/>
      <c r="H227">
        <f>IF(B227="","",IF(F227&lt;=0,"OUT OF STOCK",IF(F227&lt;=G227,"REORDER NOW","OK")))</f>
        <v/>
      </c>
      <c r="I227" s="6" t="n"/>
      <c r="J227" s="6" t="n"/>
      <c r="K227">
        <f>IF(B227="","",F227*I227)</f>
        <v/>
      </c>
      <c r="L227">
        <f>IF(B227="","",J227-I227)</f>
        <v/>
      </c>
    </row>
    <row r="228">
      <c r="A228" s="6" t="n"/>
      <c r="B228" s="6" t="n"/>
      <c r="C228" s="6" t="n"/>
      <c r="D228" s="6" t="n"/>
      <c r="E228" s="6" t="n"/>
      <c r="F228">
        <f>IF(B228="","",C228+D228-E228)</f>
        <v/>
      </c>
      <c r="G228" s="6" t="n"/>
      <c r="H228">
        <f>IF(B228="","",IF(F228&lt;=0,"OUT OF STOCK",IF(F228&lt;=G228,"REORDER NOW","OK")))</f>
        <v/>
      </c>
      <c r="I228" s="6" t="n"/>
      <c r="J228" s="6" t="n"/>
      <c r="K228">
        <f>IF(B228="","",F228*I228)</f>
        <v/>
      </c>
      <c r="L228">
        <f>IF(B228="","",J228-I228)</f>
        <v/>
      </c>
    </row>
    <row r="229">
      <c r="A229" s="6" t="n"/>
      <c r="B229" s="6" t="n"/>
      <c r="C229" s="6" t="n"/>
      <c r="D229" s="6" t="n"/>
      <c r="E229" s="6" t="n"/>
      <c r="F229">
        <f>IF(B229="","",C229+D229-E229)</f>
        <v/>
      </c>
      <c r="G229" s="6" t="n"/>
      <c r="H229">
        <f>IF(B229="","",IF(F229&lt;=0,"OUT OF STOCK",IF(F229&lt;=G229,"REORDER NOW","OK")))</f>
        <v/>
      </c>
      <c r="I229" s="6" t="n"/>
      <c r="J229" s="6" t="n"/>
      <c r="K229">
        <f>IF(B229="","",F229*I229)</f>
        <v/>
      </c>
      <c r="L229">
        <f>IF(B229="","",J229-I229)</f>
        <v/>
      </c>
    </row>
    <row r="230">
      <c r="A230" s="6" t="n"/>
      <c r="B230" s="6" t="n"/>
      <c r="C230" s="6" t="n"/>
      <c r="D230" s="6" t="n"/>
      <c r="E230" s="6" t="n"/>
      <c r="F230">
        <f>IF(B230="","",C230+D230-E230)</f>
        <v/>
      </c>
      <c r="G230" s="6" t="n"/>
      <c r="H230">
        <f>IF(B230="","",IF(F230&lt;=0,"OUT OF STOCK",IF(F230&lt;=G230,"REORDER NOW","OK")))</f>
        <v/>
      </c>
      <c r="I230" s="6" t="n"/>
      <c r="J230" s="6" t="n"/>
      <c r="K230">
        <f>IF(B230="","",F230*I230)</f>
        <v/>
      </c>
      <c r="L230">
        <f>IF(B230="","",J230-I230)</f>
        <v/>
      </c>
    </row>
    <row r="231">
      <c r="A231" s="6" t="n"/>
      <c r="B231" s="6" t="n"/>
      <c r="C231" s="6" t="n"/>
      <c r="D231" s="6" t="n"/>
      <c r="E231" s="6" t="n"/>
      <c r="F231">
        <f>IF(B231="","",C231+D231-E231)</f>
        <v/>
      </c>
      <c r="G231" s="6" t="n"/>
      <c r="H231">
        <f>IF(B231="","",IF(F231&lt;=0,"OUT OF STOCK",IF(F231&lt;=G231,"REORDER NOW","OK")))</f>
        <v/>
      </c>
      <c r="I231" s="6" t="n"/>
      <c r="J231" s="6" t="n"/>
      <c r="K231">
        <f>IF(B231="","",F231*I231)</f>
        <v/>
      </c>
      <c r="L231">
        <f>IF(B231="","",J231-I231)</f>
        <v/>
      </c>
    </row>
    <row r="232">
      <c r="A232" s="6" t="n"/>
      <c r="B232" s="6" t="n"/>
      <c r="C232" s="6" t="n"/>
      <c r="D232" s="6" t="n"/>
      <c r="E232" s="6" t="n"/>
      <c r="F232">
        <f>IF(B232="","",C232+D232-E232)</f>
        <v/>
      </c>
      <c r="G232" s="6" t="n"/>
      <c r="H232">
        <f>IF(B232="","",IF(F232&lt;=0,"OUT OF STOCK",IF(F232&lt;=G232,"REORDER NOW","OK")))</f>
        <v/>
      </c>
      <c r="I232" s="6" t="n"/>
      <c r="J232" s="6" t="n"/>
      <c r="K232">
        <f>IF(B232="","",F232*I232)</f>
        <v/>
      </c>
      <c r="L232">
        <f>IF(B232="","",J232-I232)</f>
        <v/>
      </c>
    </row>
    <row r="233">
      <c r="A233" s="6" t="n"/>
      <c r="B233" s="6" t="n"/>
      <c r="C233" s="6" t="n"/>
      <c r="D233" s="6" t="n"/>
      <c r="E233" s="6" t="n"/>
      <c r="F233">
        <f>IF(B233="","",C233+D233-E233)</f>
        <v/>
      </c>
      <c r="G233" s="6" t="n"/>
      <c r="H233">
        <f>IF(B233="","",IF(F233&lt;=0,"OUT OF STOCK",IF(F233&lt;=G233,"REORDER NOW","OK")))</f>
        <v/>
      </c>
      <c r="I233" s="6" t="n"/>
      <c r="J233" s="6" t="n"/>
      <c r="K233">
        <f>IF(B233="","",F233*I233)</f>
        <v/>
      </c>
      <c r="L233">
        <f>IF(B233="","",J233-I233)</f>
        <v/>
      </c>
    </row>
    <row r="234">
      <c r="A234" s="6" t="n"/>
      <c r="B234" s="6" t="n"/>
      <c r="C234" s="6" t="n"/>
      <c r="D234" s="6" t="n"/>
      <c r="E234" s="6" t="n"/>
      <c r="F234">
        <f>IF(B234="","",C234+D234-E234)</f>
        <v/>
      </c>
      <c r="G234" s="6" t="n"/>
      <c r="H234">
        <f>IF(B234="","",IF(F234&lt;=0,"OUT OF STOCK",IF(F234&lt;=G234,"REORDER NOW","OK")))</f>
        <v/>
      </c>
      <c r="I234" s="6" t="n"/>
      <c r="J234" s="6" t="n"/>
      <c r="K234">
        <f>IF(B234="","",F234*I234)</f>
        <v/>
      </c>
      <c r="L234">
        <f>IF(B234="","",J234-I234)</f>
        <v/>
      </c>
    </row>
    <row r="235">
      <c r="A235" s="6" t="n"/>
      <c r="B235" s="6" t="n"/>
      <c r="C235" s="6" t="n"/>
      <c r="D235" s="6" t="n"/>
      <c r="E235" s="6" t="n"/>
      <c r="F235">
        <f>IF(B235="","",C235+D235-E235)</f>
        <v/>
      </c>
      <c r="G235" s="6" t="n"/>
      <c r="H235">
        <f>IF(B235="","",IF(F235&lt;=0,"OUT OF STOCK",IF(F235&lt;=G235,"REORDER NOW","OK")))</f>
        <v/>
      </c>
      <c r="I235" s="6" t="n"/>
      <c r="J235" s="6" t="n"/>
      <c r="K235">
        <f>IF(B235="","",F235*I235)</f>
        <v/>
      </c>
      <c r="L235">
        <f>IF(B235="","",J235-I235)</f>
        <v/>
      </c>
    </row>
    <row r="236">
      <c r="A236" s="6" t="n"/>
      <c r="B236" s="6" t="n"/>
      <c r="C236" s="6" t="n"/>
      <c r="D236" s="6" t="n"/>
      <c r="E236" s="6" t="n"/>
      <c r="F236">
        <f>IF(B236="","",C236+D236-E236)</f>
        <v/>
      </c>
      <c r="G236" s="6" t="n"/>
      <c r="H236">
        <f>IF(B236="","",IF(F236&lt;=0,"OUT OF STOCK",IF(F236&lt;=G236,"REORDER NOW","OK")))</f>
        <v/>
      </c>
      <c r="I236" s="6" t="n"/>
      <c r="J236" s="6" t="n"/>
      <c r="K236">
        <f>IF(B236="","",F236*I236)</f>
        <v/>
      </c>
      <c r="L236">
        <f>IF(B236="","",J236-I236)</f>
        <v/>
      </c>
    </row>
    <row r="237">
      <c r="A237" s="6" t="n"/>
      <c r="B237" s="6" t="n"/>
      <c r="C237" s="6" t="n"/>
      <c r="D237" s="6" t="n"/>
      <c r="E237" s="6" t="n"/>
      <c r="F237">
        <f>IF(B237="","",C237+D237-E237)</f>
        <v/>
      </c>
      <c r="G237" s="6" t="n"/>
      <c r="H237">
        <f>IF(B237="","",IF(F237&lt;=0,"OUT OF STOCK",IF(F237&lt;=G237,"REORDER NOW","OK")))</f>
        <v/>
      </c>
      <c r="I237" s="6" t="n"/>
      <c r="J237" s="6" t="n"/>
      <c r="K237">
        <f>IF(B237="","",F237*I237)</f>
        <v/>
      </c>
      <c r="L237">
        <f>IF(B237="","",J237-I237)</f>
        <v/>
      </c>
    </row>
    <row r="238">
      <c r="A238" s="6" t="n"/>
      <c r="B238" s="6" t="n"/>
      <c r="C238" s="6" t="n"/>
      <c r="D238" s="6" t="n"/>
      <c r="E238" s="6" t="n"/>
      <c r="F238">
        <f>IF(B238="","",C238+D238-E238)</f>
        <v/>
      </c>
      <c r="G238" s="6" t="n"/>
      <c r="H238">
        <f>IF(B238="","",IF(F238&lt;=0,"OUT OF STOCK",IF(F238&lt;=G238,"REORDER NOW","OK")))</f>
        <v/>
      </c>
      <c r="I238" s="6" t="n"/>
      <c r="J238" s="6" t="n"/>
      <c r="K238">
        <f>IF(B238="","",F238*I238)</f>
        <v/>
      </c>
      <c r="L238">
        <f>IF(B238="","",J238-I238)</f>
        <v/>
      </c>
    </row>
    <row r="239">
      <c r="A239" s="6" t="n"/>
      <c r="B239" s="6" t="n"/>
      <c r="C239" s="6" t="n"/>
      <c r="D239" s="6" t="n"/>
      <c r="E239" s="6" t="n"/>
      <c r="F239">
        <f>IF(B239="","",C239+D239-E239)</f>
        <v/>
      </c>
      <c r="G239" s="6" t="n"/>
      <c r="H239">
        <f>IF(B239="","",IF(F239&lt;=0,"OUT OF STOCK",IF(F239&lt;=G239,"REORDER NOW","OK")))</f>
        <v/>
      </c>
      <c r="I239" s="6" t="n"/>
      <c r="J239" s="6" t="n"/>
      <c r="K239">
        <f>IF(B239="","",F239*I239)</f>
        <v/>
      </c>
      <c r="L239">
        <f>IF(B239="","",J239-I239)</f>
        <v/>
      </c>
    </row>
    <row r="240">
      <c r="A240" s="6" t="n"/>
      <c r="B240" s="6" t="n"/>
      <c r="C240" s="6" t="n"/>
      <c r="D240" s="6" t="n"/>
      <c r="E240" s="6" t="n"/>
      <c r="F240">
        <f>IF(B240="","",C240+D240-E240)</f>
        <v/>
      </c>
      <c r="G240" s="6" t="n"/>
      <c r="H240">
        <f>IF(B240="","",IF(F240&lt;=0,"OUT OF STOCK",IF(F240&lt;=G240,"REORDER NOW","OK")))</f>
        <v/>
      </c>
      <c r="I240" s="6" t="n"/>
      <c r="J240" s="6" t="n"/>
      <c r="K240">
        <f>IF(B240="","",F240*I240)</f>
        <v/>
      </c>
      <c r="L240">
        <f>IF(B240="","",J240-I240)</f>
        <v/>
      </c>
    </row>
    <row r="241">
      <c r="A241" s="6" t="n"/>
      <c r="B241" s="6" t="n"/>
      <c r="C241" s="6" t="n"/>
      <c r="D241" s="6" t="n"/>
      <c r="E241" s="6" t="n"/>
      <c r="F241">
        <f>IF(B241="","",C241+D241-E241)</f>
        <v/>
      </c>
      <c r="G241" s="6" t="n"/>
      <c r="H241">
        <f>IF(B241="","",IF(F241&lt;=0,"OUT OF STOCK",IF(F241&lt;=G241,"REORDER NOW","OK")))</f>
        <v/>
      </c>
      <c r="I241" s="6" t="n"/>
      <c r="J241" s="6" t="n"/>
      <c r="K241">
        <f>IF(B241="","",F241*I241)</f>
        <v/>
      </c>
      <c r="L241">
        <f>IF(B241="","",J241-I241)</f>
        <v/>
      </c>
    </row>
    <row r="242">
      <c r="A242" s="6" t="n"/>
      <c r="B242" s="6" t="n"/>
      <c r="C242" s="6" t="n"/>
      <c r="D242" s="6" t="n"/>
      <c r="E242" s="6" t="n"/>
      <c r="F242">
        <f>IF(B242="","",C242+D242-E242)</f>
        <v/>
      </c>
      <c r="G242" s="6" t="n"/>
      <c r="H242">
        <f>IF(B242="","",IF(F242&lt;=0,"OUT OF STOCK",IF(F242&lt;=G242,"REORDER NOW","OK")))</f>
        <v/>
      </c>
      <c r="I242" s="6" t="n"/>
      <c r="J242" s="6" t="n"/>
      <c r="K242">
        <f>IF(B242="","",F242*I242)</f>
        <v/>
      </c>
      <c r="L242">
        <f>IF(B242="","",J242-I242)</f>
        <v/>
      </c>
    </row>
    <row r="243">
      <c r="A243" s="6" t="n"/>
      <c r="B243" s="6" t="n"/>
      <c r="C243" s="6" t="n"/>
      <c r="D243" s="6" t="n"/>
      <c r="E243" s="6" t="n"/>
      <c r="F243">
        <f>IF(B243="","",C243+D243-E243)</f>
        <v/>
      </c>
      <c r="G243" s="6" t="n"/>
      <c r="H243">
        <f>IF(B243="","",IF(F243&lt;=0,"OUT OF STOCK",IF(F243&lt;=G243,"REORDER NOW","OK")))</f>
        <v/>
      </c>
      <c r="I243" s="6" t="n"/>
      <c r="J243" s="6" t="n"/>
      <c r="K243">
        <f>IF(B243="","",F243*I243)</f>
        <v/>
      </c>
      <c r="L243">
        <f>IF(B243="","",J243-I243)</f>
        <v/>
      </c>
    </row>
    <row r="244">
      <c r="A244" s="6" t="n"/>
      <c r="B244" s="6" t="n"/>
      <c r="C244" s="6" t="n"/>
      <c r="D244" s="6" t="n"/>
      <c r="E244" s="6" t="n"/>
      <c r="F244">
        <f>IF(B244="","",C244+D244-E244)</f>
        <v/>
      </c>
      <c r="G244" s="6" t="n"/>
      <c r="H244">
        <f>IF(B244="","",IF(F244&lt;=0,"OUT OF STOCK",IF(F244&lt;=G244,"REORDER NOW","OK")))</f>
        <v/>
      </c>
      <c r="I244" s="6" t="n"/>
      <c r="J244" s="6" t="n"/>
      <c r="K244">
        <f>IF(B244="","",F244*I244)</f>
        <v/>
      </c>
      <c r="L244">
        <f>IF(B244="","",J244-I244)</f>
        <v/>
      </c>
    </row>
    <row r="245">
      <c r="A245" s="6" t="n"/>
      <c r="B245" s="6" t="n"/>
      <c r="C245" s="6" t="n"/>
      <c r="D245" s="6" t="n"/>
      <c r="E245" s="6" t="n"/>
      <c r="F245">
        <f>IF(B245="","",C245+D245-E245)</f>
        <v/>
      </c>
      <c r="G245" s="6" t="n"/>
      <c r="H245">
        <f>IF(B245="","",IF(F245&lt;=0,"OUT OF STOCK",IF(F245&lt;=G245,"REORDER NOW","OK")))</f>
        <v/>
      </c>
      <c r="I245" s="6" t="n"/>
      <c r="J245" s="6" t="n"/>
      <c r="K245">
        <f>IF(B245="","",F245*I245)</f>
        <v/>
      </c>
      <c r="L245">
        <f>IF(B245="","",J245-I245)</f>
        <v/>
      </c>
    </row>
    <row r="246">
      <c r="A246" s="6" t="n"/>
      <c r="B246" s="6" t="n"/>
      <c r="C246" s="6" t="n"/>
      <c r="D246" s="6" t="n"/>
      <c r="E246" s="6" t="n"/>
      <c r="F246">
        <f>IF(B246="","",C246+D246-E246)</f>
        <v/>
      </c>
      <c r="G246" s="6" t="n"/>
      <c r="H246">
        <f>IF(B246="","",IF(F246&lt;=0,"OUT OF STOCK",IF(F246&lt;=G246,"REORDER NOW","OK")))</f>
        <v/>
      </c>
      <c r="I246" s="6" t="n"/>
      <c r="J246" s="6" t="n"/>
      <c r="K246">
        <f>IF(B246="","",F246*I246)</f>
        <v/>
      </c>
      <c r="L246">
        <f>IF(B246="","",J246-I246)</f>
        <v/>
      </c>
    </row>
    <row r="247">
      <c r="A247" s="6" t="n"/>
      <c r="B247" s="6" t="n"/>
      <c r="C247" s="6" t="n"/>
      <c r="D247" s="6" t="n"/>
      <c r="E247" s="6" t="n"/>
      <c r="F247">
        <f>IF(B247="","",C247+D247-E247)</f>
        <v/>
      </c>
      <c r="G247" s="6" t="n"/>
      <c r="H247">
        <f>IF(B247="","",IF(F247&lt;=0,"OUT OF STOCK",IF(F247&lt;=G247,"REORDER NOW","OK")))</f>
        <v/>
      </c>
      <c r="I247" s="6" t="n"/>
      <c r="J247" s="6" t="n"/>
      <c r="K247">
        <f>IF(B247="","",F247*I247)</f>
        <v/>
      </c>
      <c r="L247">
        <f>IF(B247="","",J247-I247)</f>
        <v/>
      </c>
    </row>
    <row r="248">
      <c r="A248" s="6" t="n"/>
      <c r="B248" s="6" t="n"/>
      <c r="C248" s="6" t="n"/>
      <c r="D248" s="6" t="n"/>
      <c r="E248" s="6" t="n"/>
      <c r="F248">
        <f>IF(B248="","",C248+D248-E248)</f>
        <v/>
      </c>
      <c r="G248" s="6" t="n"/>
      <c r="H248">
        <f>IF(B248="","",IF(F248&lt;=0,"OUT OF STOCK",IF(F248&lt;=G248,"REORDER NOW","OK")))</f>
        <v/>
      </c>
      <c r="I248" s="6" t="n"/>
      <c r="J248" s="6" t="n"/>
      <c r="K248">
        <f>IF(B248="","",F248*I248)</f>
        <v/>
      </c>
      <c r="L248">
        <f>IF(B248="","",J248-I248)</f>
        <v/>
      </c>
    </row>
    <row r="249">
      <c r="A249" s="6" t="n"/>
      <c r="B249" s="6" t="n"/>
      <c r="C249" s="6" t="n"/>
      <c r="D249" s="6" t="n"/>
      <c r="E249" s="6" t="n"/>
      <c r="F249">
        <f>IF(B249="","",C249+D249-E249)</f>
        <v/>
      </c>
      <c r="G249" s="6" t="n"/>
      <c r="H249">
        <f>IF(B249="","",IF(F249&lt;=0,"OUT OF STOCK",IF(F249&lt;=G249,"REORDER NOW","OK")))</f>
        <v/>
      </c>
      <c r="I249" s="6" t="n"/>
      <c r="J249" s="6" t="n"/>
      <c r="K249">
        <f>IF(B249="","",F249*I249)</f>
        <v/>
      </c>
      <c r="L249">
        <f>IF(B249="","",J249-I249)</f>
        <v/>
      </c>
    </row>
    <row r="250">
      <c r="A250" s="6" t="n"/>
      <c r="B250" s="6" t="n"/>
      <c r="C250" s="6" t="n"/>
      <c r="D250" s="6" t="n"/>
      <c r="E250" s="6" t="n"/>
      <c r="F250">
        <f>IF(B250="","",C250+D250-E250)</f>
        <v/>
      </c>
      <c r="G250" s="6" t="n"/>
      <c r="H250">
        <f>IF(B250="","",IF(F250&lt;=0,"OUT OF STOCK",IF(F250&lt;=G250,"REORDER NOW","OK")))</f>
        <v/>
      </c>
      <c r="I250" s="6" t="n"/>
      <c r="J250" s="6" t="n"/>
      <c r="K250">
        <f>IF(B250="","",F250*I250)</f>
        <v/>
      </c>
      <c r="L250">
        <f>IF(B250="","",J250-I250)</f>
        <v/>
      </c>
    </row>
    <row r="251">
      <c r="A251" s="6" t="n"/>
      <c r="B251" s="6" t="n"/>
      <c r="C251" s="6" t="n"/>
      <c r="D251" s="6" t="n"/>
      <c r="E251" s="6" t="n"/>
      <c r="F251">
        <f>IF(B251="","",C251+D251-E251)</f>
        <v/>
      </c>
      <c r="G251" s="6" t="n"/>
      <c r="H251">
        <f>IF(B251="","",IF(F251&lt;=0,"OUT OF STOCK",IF(F251&lt;=G251,"REORDER NOW","OK")))</f>
        <v/>
      </c>
      <c r="I251" s="6" t="n"/>
      <c r="J251" s="6" t="n"/>
      <c r="K251">
        <f>IF(B251="","",F251*I251)</f>
        <v/>
      </c>
      <c r="L251">
        <f>IF(B251="","",J251-I251)</f>
        <v/>
      </c>
    </row>
    <row r="252">
      <c r="A252" s="6" t="n"/>
      <c r="B252" s="6" t="n"/>
      <c r="C252" s="6" t="n"/>
      <c r="D252" s="6" t="n"/>
      <c r="E252" s="6" t="n"/>
      <c r="F252">
        <f>IF(B252="","",C252+D252-E252)</f>
        <v/>
      </c>
      <c r="G252" s="6" t="n"/>
      <c r="H252">
        <f>IF(B252="","",IF(F252&lt;=0,"OUT OF STOCK",IF(F252&lt;=G252,"REORDER NOW","OK")))</f>
        <v/>
      </c>
      <c r="I252" s="6" t="n"/>
      <c r="J252" s="6" t="n"/>
      <c r="K252">
        <f>IF(B252="","",F252*I252)</f>
        <v/>
      </c>
      <c r="L252">
        <f>IF(B252="","",J252-I252)</f>
        <v/>
      </c>
    </row>
    <row r="253">
      <c r="A253" s="6" t="n"/>
      <c r="B253" s="6" t="n"/>
      <c r="C253" s="6" t="n"/>
      <c r="D253" s="6" t="n"/>
      <c r="E253" s="6" t="n"/>
      <c r="F253">
        <f>IF(B253="","",C253+D253-E253)</f>
        <v/>
      </c>
      <c r="G253" s="6" t="n"/>
      <c r="H253">
        <f>IF(B253="","",IF(F253&lt;=0,"OUT OF STOCK",IF(F253&lt;=G253,"REORDER NOW","OK")))</f>
        <v/>
      </c>
      <c r="I253" s="6" t="n"/>
      <c r="J253" s="6" t="n"/>
      <c r="K253">
        <f>IF(B253="","",F253*I253)</f>
        <v/>
      </c>
      <c r="L253">
        <f>IF(B253="","",J253-I253)</f>
        <v/>
      </c>
    </row>
    <row r="254">
      <c r="A254" s="6" t="n"/>
      <c r="B254" s="6" t="n"/>
      <c r="C254" s="6" t="n"/>
      <c r="D254" s="6" t="n"/>
      <c r="E254" s="6" t="n"/>
      <c r="F254">
        <f>IF(B254="","",C254+D254-E254)</f>
        <v/>
      </c>
      <c r="G254" s="6" t="n"/>
      <c r="H254">
        <f>IF(B254="","",IF(F254&lt;=0,"OUT OF STOCK",IF(F254&lt;=G254,"REORDER NOW","OK")))</f>
        <v/>
      </c>
      <c r="I254" s="6" t="n"/>
      <c r="J254" s="6" t="n"/>
      <c r="K254">
        <f>IF(B254="","",F254*I254)</f>
        <v/>
      </c>
      <c r="L254">
        <f>IF(B254="","",J254-I254)</f>
        <v/>
      </c>
    </row>
    <row r="255">
      <c r="A255" s="6" t="n"/>
      <c r="B255" s="6" t="n"/>
      <c r="C255" s="6" t="n"/>
      <c r="D255" s="6" t="n"/>
      <c r="E255" s="6" t="n"/>
      <c r="F255">
        <f>IF(B255="","",C255+D255-E255)</f>
        <v/>
      </c>
      <c r="G255" s="6" t="n"/>
      <c r="H255">
        <f>IF(B255="","",IF(F255&lt;=0,"OUT OF STOCK",IF(F255&lt;=G255,"REORDER NOW","OK")))</f>
        <v/>
      </c>
      <c r="I255" s="6" t="n"/>
      <c r="J255" s="6" t="n"/>
      <c r="K255">
        <f>IF(B255="","",F255*I255)</f>
        <v/>
      </c>
      <c r="L255">
        <f>IF(B255="","",J255-I255)</f>
        <v/>
      </c>
    </row>
    <row r="256">
      <c r="A256" s="6" t="n"/>
      <c r="B256" s="6" t="n"/>
      <c r="C256" s="6" t="n"/>
      <c r="D256" s="6" t="n"/>
      <c r="E256" s="6" t="n"/>
      <c r="F256">
        <f>IF(B256="","",C256+D256-E256)</f>
        <v/>
      </c>
      <c r="G256" s="6" t="n"/>
      <c r="H256">
        <f>IF(B256="","",IF(F256&lt;=0,"OUT OF STOCK",IF(F256&lt;=G256,"REORDER NOW","OK")))</f>
        <v/>
      </c>
      <c r="I256" s="6" t="n"/>
      <c r="J256" s="6" t="n"/>
      <c r="K256">
        <f>IF(B256="","",F256*I256)</f>
        <v/>
      </c>
      <c r="L256">
        <f>IF(B256="","",J256-I256)</f>
        <v/>
      </c>
    </row>
    <row r="257">
      <c r="A257" s="6" t="n"/>
      <c r="B257" s="6" t="n"/>
      <c r="C257" s="6" t="n"/>
      <c r="D257" s="6" t="n"/>
      <c r="E257" s="6" t="n"/>
      <c r="F257">
        <f>IF(B257="","",C257+D257-E257)</f>
        <v/>
      </c>
      <c r="G257" s="6" t="n"/>
      <c r="H257">
        <f>IF(B257="","",IF(F257&lt;=0,"OUT OF STOCK",IF(F257&lt;=G257,"REORDER NOW","OK")))</f>
        <v/>
      </c>
      <c r="I257" s="6" t="n"/>
      <c r="J257" s="6" t="n"/>
      <c r="K257">
        <f>IF(B257="","",F257*I257)</f>
        <v/>
      </c>
      <c r="L257">
        <f>IF(B257="","",J257-I257)</f>
        <v/>
      </c>
    </row>
    <row r="258">
      <c r="A258" s="6" t="n"/>
      <c r="B258" s="6" t="n"/>
      <c r="C258" s="6" t="n"/>
      <c r="D258" s="6" t="n"/>
      <c r="E258" s="6" t="n"/>
      <c r="F258">
        <f>IF(B258="","",C258+D258-E258)</f>
        <v/>
      </c>
      <c r="G258" s="6" t="n"/>
      <c r="H258">
        <f>IF(B258="","",IF(F258&lt;=0,"OUT OF STOCK",IF(F258&lt;=G258,"REORDER NOW","OK")))</f>
        <v/>
      </c>
      <c r="I258" s="6" t="n"/>
      <c r="J258" s="6" t="n"/>
      <c r="K258">
        <f>IF(B258="","",F258*I258)</f>
        <v/>
      </c>
      <c r="L258">
        <f>IF(B258="","",J258-I258)</f>
        <v/>
      </c>
    </row>
    <row r="259">
      <c r="A259" s="6" t="n"/>
      <c r="B259" s="6" t="n"/>
      <c r="C259" s="6" t="n"/>
      <c r="D259" s="6" t="n"/>
      <c r="E259" s="6" t="n"/>
      <c r="F259">
        <f>IF(B259="","",C259+D259-E259)</f>
        <v/>
      </c>
      <c r="G259" s="6" t="n"/>
      <c r="H259">
        <f>IF(B259="","",IF(F259&lt;=0,"OUT OF STOCK",IF(F259&lt;=G259,"REORDER NOW","OK")))</f>
        <v/>
      </c>
      <c r="I259" s="6" t="n"/>
      <c r="J259" s="6" t="n"/>
      <c r="K259">
        <f>IF(B259="","",F259*I259)</f>
        <v/>
      </c>
      <c r="L259">
        <f>IF(B259="","",J259-I259)</f>
        <v/>
      </c>
    </row>
    <row r="260">
      <c r="A260" s="6" t="n"/>
      <c r="B260" s="6" t="n"/>
      <c r="C260" s="6" t="n"/>
      <c r="D260" s="6" t="n"/>
      <c r="E260" s="6" t="n"/>
      <c r="F260">
        <f>IF(B260="","",C260+D260-E260)</f>
        <v/>
      </c>
      <c r="G260" s="6" t="n"/>
      <c r="H260">
        <f>IF(B260="","",IF(F260&lt;=0,"OUT OF STOCK",IF(F260&lt;=G260,"REORDER NOW","OK")))</f>
        <v/>
      </c>
      <c r="I260" s="6" t="n"/>
      <c r="J260" s="6" t="n"/>
      <c r="K260">
        <f>IF(B260="","",F260*I260)</f>
        <v/>
      </c>
      <c r="L260">
        <f>IF(B260="","",J260-I260)</f>
        <v/>
      </c>
    </row>
    <row r="261">
      <c r="A261" s="6" t="n"/>
      <c r="B261" s="6" t="n"/>
      <c r="C261" s="6" t="n"/>
      <c r="D261" s="6" t="n"/>
      <c r="E261" s="6" t="n"/>
      <c r="F261">
        <f>IF(B261="","",C261+D261-E261)</f>
        <v/>
      </c>
      <c r="G261" s="6" t="n"/>
      <c r="H261">
        <f>IF(B261="","",IF(F261&lt;=0,"OUT OF STOCK",IF(F261&lt;=G261,"REORDER NOW","OK")))</f>
        <v/>
      </c>
      <c r="I261" s="6" t="n"/>
      <c r="J261" s="6" t="n"/>
      <c r="K261">
        <f>IF(B261="","",F261*I261)</f>
        <v/>
      </c>
      <c r="L261">
        <f>IF(B261="","",J261-I261)</f>
        <v/>
      </c>
    </row>
    <row r="262">
      <c r="A262" s="6" t="n"/>
      <c r="B262" s="6" t="n"/>
      <c r="C262" s="6" t="n"/>
      <c r="D262" s="6" t="n"/>
      <c r="E262" s="6" t="n"/>
      <c r="F262">
        <f>IF(B262="","",C262+D262-E262)</f>
        <v/>
      </c>
      <c r="G262" s="6" t="n"/>
      <c r="H262">
        <f>IF(B262="","",IF(F262&lt;=0,"OUT OF STOCK",IF(F262&lt;=G262,"REORDER NOW","OK")))</f>
        <v/>
      </c>
      <c r="I262" s="6" t="n"/>
      <c r="J262" s="6" t="n"/>
      <c r="K262">
        <f>IF(B262="","",F262*I262)</f>
        <v/>
      </c>
      <c r="L262">
        <f>IF(B262="","",J262-I262)</f>
        <v/>
      </c>
    </row>
    <row r="263">
      <c r="A263" s="6" t="n"/>
      <c r="B263" s="6" t="n"/>
      <c r="C263" s="6" t="n"/>
      <c r="D263" s="6" t="n"/>
      <c r="E263" s="6" t="n"/>
      <c r="F263">
        <f>IF(B263="","",C263+D263-E263)</f>
        <v/>
      </c>
      <c r="G263" s="6" t="n"/>
      <c r="H263">
        <f>IF(B263="","",IF(F263&lt;=0,"OUT OF STOCK",IF(F263&lt;=G263,"REORDER NOW","OK")))</f>
        <v/>
      </c>
      <c r="I263" s="6" t="n"/>
      <c r="J263" s="6" t="n"/>
      <c r="K263">
        <f>IF(B263="","",F263*I263)</f>
        <v/>
      </c>
      <c r="L263">
        <f>IF(B263="","",J263-I263)</f>
        <v/>
      </c>
    </row>
    <row r="264">
      <c r="A264" s="6" t="n"/>
      <c r="B264" s="6" t="n"/>
      <c r="C264" s="6" t="n"/>
      <c r="D264" s="6" t="n"/>
      <c r="E264" s="6" t="n"/>
      <c r="F264">
        <f>IF(B264="","",C264+D264-E264)</f>
        <v/>
      </c>
      <c r="G264" s="6" t="n"/>
      <c r="H264">
        <f>IF(B264="","",IF(F264&lt;=0,"OUT OF STOCK",IF(F264&lt;=G264,"REORDER NOW","OK")))</f>
        <v/>
      </c>
      <c r="I264" s="6" t="n"/>
      <c r="J264" s="6" t="n"/>
      <c r="K264">
        <f>IF(B264="","",F264*I264)</f>
        <v/>
      </c>
      <c r="L264">
        <f>IF(B264="","",J264-I264)</f>
        <v/>
      </c>
    </row>
    <row r="265">
      <c r="A265" s="6" t="n"/>
      <c r="B265" s="6" t="n"/>
      <c r="C265" s="6" t="n"/>
      <c r="D265" s="6" t="n"/>
      <c r="E265" s="6" t="n"/>
      <c r="F265">
        <f>IF(B265="","",C265+D265-E265)</f>
        <v/>
      </c>
      <c r="G265" s="6" t="n"/>
      <c r="H265">
        <f>IF(B265="","",IF(F265&lt;=0,"OUT OF STOCK",IF(F265&lt;=G265,"REORDER NOW","OK")))</f>
        <v/>
      </c>
      <c r="I265" s="6" t="n"/>
      <c r="J265" s="6" t="n"/>
      <c r="K265">
        <f>IF(B265="","",F265*I265)</f>
        <v/>
      </c>
      <c r="L265">
        <f>IF(B265="","",J265-I265)</f>
        <v/>
      </c>
    </row>
    <row r="266">
      <c r="A266" s="6" t="n"/>
      <c r="B266" s="6" t="n"/>
      <c r="C266" s="6" t="n"/>
      <c r="D266" s="6" t="n"/>
      <c r="E266" s="6" t="n"/>
      <c r="F266">
        <f>IF(B266="","",C266+D266-E266)</f>
        <v/>
      </c>
      <c r="G266" s="6" t="n"/>
      <c r="H266">
        <f>IF(B266="","",IF(F266&lt;=0,"OUT OF STOCK",IF(F266&lt;=G266,"REORDER NOW","OK")))</f>
        <v/>
      </c>
      <c r="I266" s="6" t="n"/>
      <c r="J266" s="6" t="n"/>
      <c r="K266">
        <f>IF(B266="","",F266*I266)</f>
        <v/>
      </c>
      <c r="L266">
        <f>IF(B266="","",J266-I266)</f>
        <v/>
      </c>
    </row>
    <row r="267">
      <c r="A267" s="6" t="n"/>
      <c r="B267" s="6" t="n"/>
      <c r="C267" s="6" t="n"/>
      <c r="D267" s="6" t="n"/>
      <c r="E267" s="6" t="n"/>
      <c r="F267">
        <f>IF(B267="","",C267+D267-E267)</f>
        <v/>
      </c>
      <c r="G267" s="6" t="n"/>
      <c r="H267">
        <f>IF(B267="","",IF(F267&lt;=0,"OUT OF STOCK",IF(F267&lt;=G267,"REORDER NOW","OK")))</f>
        <v/>
      </c>
      <c r="I267" s="6" t="n"/>
      <c r="J267" s="6" t="n"/>
      <c r="K267">
        <f>IF(B267="","",F267*I267)</f>
        <v/>
      </c>
      <c r="L267">
        <f>IF(B267="","",J267-I267)</f>
        <v/>
      </c>
    </row>
    <row r="268">
      <c r="A268" s="6" t="n"/>
      <c r="B268" s="6" t="n"/>
      <c r="C268" s="6" t="n"/>
      <c r="D268" s="6" t="n"/>
      <c r="E268" s="6" t="n"/>
      <c r="F268">
        <f>IF(B268="","",C268+D268-E268)</f>
        <v/>
      </c>
      <c r="G268" s="6" t="n"/>
      <c r="H268">
        <f>IF(B268="","",IF(F268&lt;=0,"OUT OF STOCK",IF(F268&lt;=G268,"REORDER NOW","OK")))</f>
        <v/>
      </c>
      <c r="I268" s="6" t="n"/>
      <c r="J268" s="6" t="n"/>
      <c r="K268">
        <f>IF(B268="","",F268*I268)</f>
        <v/>
      </c>
      <c r="L268">
        <f>IF(B268="","",J268-I268)</f>
        <v/>
      </c>
    </row>
    <row r="269">
      <c r="A269" s="6" t="n"/>
      <c r="B269" s="6" t="n"/>
      <c r="C269" s="6" t="n"/>
      <c r="D269" s="6" t="n"/>
      <c r="E269" s="6" t="n"/>
      <c r="F269">
        <f>IF(B269="","",C269+D269-E269)</f>
        <v/>
      </c>
      <c r="G269" s="6" t="n"/>
      <c r="H269">
        <f>IF(B269="","",IF(F269&lt;=0,"OUT OF STOCK",IF(F269&lt;=G269,"REORDER NOW","OK")))</f>
        <v/>
      </c>
      <c r="I269" s="6" t="n"/>
      <c r="J269" s="6" t="n"/>
      <c r="K269">
        <f>IF(B269="","",F269*I269)</f>
        <v/>
      </c>
      <c r="L269">
        <f>IF(B269="","",J269-I269)</f>
        <v/>
      </c>
    </row>
    <row r="270">
      <c r="A270" s="6" t="n"/>
      <c r="B270" s="6" t="n"/>
      <c r="C270" s="6" t="n"/>
      <c r="D270" s="6" t="n"/>
      <c r="E270" s="6" t="n"/>
      <c r="F270">
        <f>IF(B270="","",C270+D270-E270)</f>
        <v/>
      </c>
      <c r="G270" s="6" t="n"/>
      <c r="H270">
        <f>IF(B270="","",IF(F270&lt;=0,"OUT OF STOCK",IF(F270&lt;=G270,"REORDER NOW","OK")))</f>
        <v/>
      </c>
      <c r="I270" s="6" t="n"/>
      <c r="J270" s="6" t="n"/>
      <c r="K270">
        <f>IF(B270="","",F270*I270)</f>
        <v/>
      </c>
      <c r="L270">
        <f>IF(B270="","",J270-I270)</f>
        <v/>
      </c>
    </row>
    <row r="271">
      <c r="A271" s="6" t="n"/>
      <c r="B271" s="6" t="n"/>
      <c r="C271" s="6" t="n"/>
      <c r="D271" s="6" t="n"/>
      <c r="E271" s="6" t="n"/>
      <c r="F271">
        <f>IF(B271="","",C271+D271-E271)</f>
        <v/>
      </c>
      <c r="G271" s="6" t="n"/>
      <c r="H271">
        <f>IF(B271="","",IF(F271&lt;=0,"OUT OF STOCK",IF(F271&lt;=G271,"REORDER NOW","OK")))</f>
        <v/>
      </c>
      <c r="I271" s="6" t="n"/>
      <c r="J271" s="6" t="n"/>
      <c r="K271">
        <f>IF(B271="","",F271*I271)</f>
        <v/>
      </c>
      <c r="L271">
        <f>IF(B271="","",J271-I271)</f>
        <v/>
      </c>
    </row>
    <row r="272">
      <c r="A272" s="6" t="n"/>
      <c r="B272" s="6" t="n"/>
      <c r="C272" s="6" t="n"/>
      <c r="D272" s="6" t="n"/>
      <c r="E272" s="6" t="n"/>
      <c r="F272">
        <f>IF(B272="","",C272+D272-E272)</f>
        <v/>
      </c>
      <c r="G272" s="6" t="n"/>
      <c r="H272">
        <f>IF(B272="","",IF(F272&lt;=0,"OUT OF STOCK",IF(F272&lt;=G272,"REORDER NOW","OK")))</f>
        <v/>
      </c>
      <c r="I272" s="6" t="n"/>
      <c r="J272" s="6" t="n"/>
      <c r="K272">
        <f>IF(B272="","",F272*I272)</f>
        <v/>
      </c>
      <c r="L272">
        <f>IF(B272="","",J272-I272)</f>
        <v/>
      </c>
    </row>
    <row r="273">
      <c r="A273" s="6" t="n"/>
      <c r="B273" s="6" t="n"/>
      <c r="C273" s="6" t="n"/>
      <c r="D273" s="6" t="n"/>
      <c r="E273" s="6" t="n"/>
      <c r="F273">
        <f>IF(B273="","",C273+D273-E273)</f>
        <v/>
      </c>
      <c r="G273" s="6" t="n"/>
      <c r="H273">
        <f>IF(B273="","",IF(F273&lt;=0,"OUT OF STOCK",IF(F273&lt;=G273,"REORDER NOW","OK")))</f>
        <v/>
      </c>
      <c r="I273" s="6" t="n"/>
      <c r="J273" s="6" t="n"/>
      <c r="K273">
        <f>IF(B273="","",F273*I273)</f>
        <v/>
      </c>
      <c r="L273">
        <f>IF(B273="","",J273-I273)</f>
        <v/>
      </c>
    </row>
    <row r="274">
      <c r="A274" s="6" t="n"/>
      <c r="B274" s="6" t="n"/>
      <c r="C274" s="6" t="n"/>
      <c r="D274" s="6" t="n"/>
      <c r="E274" s="6" t="n"/>
      <c r="F274">
        <f>IF(B274="","",C274+D274-E274)</f>
        <v/>
      </c>
      <c r="G274" s="6" t="n"/>
      <c r="H274">
        <f>IF(B274="","",IF(F274&lt;=0,"OUT OF STOCK",IF(F274&lt;=G274,"REORDER NOW","OK")))</f>
        <v/>
      </c>
      <c r="I274" s="6" t="n"/>
      <c r="J274" s="6" t="n"/>
      <c r="K274">
        <f>IF(B274="","",F274*I274)</f>
        <v/>
      </c>
      <c r="L274">
        <f>IF(B274="","",J274-I274)</f>
        <v/>
      </c>
    </row>
    <row r="275">
      <c r="A275" s="6" t="n"/>
      <c r="B275" s="6" t="n"/>
      <c r="C275" s="6" t="n"/>
      <c r="D275" s="6" t="n"/>
      <c r="E275" s="6" t="n"/>
      <c r="F275">
        <f>IF(B275="","",C275+D275-E275)</f>
        <v/>
      </c>
      <c r="G275" s="6" t="n"/>
      <c r="H275">
        <f>IF(B275="","",IF(F275&lt;=0,"OUT OF STOCK",IF(F275&lt;=G275,"REORDER NOW","OK")))</f>
        <v/>
      </c>
      <c r="I275" s="6" t="n"/>
      <c r="J275" s="6" t="n"/>
      <c r="K275">
        <f>IF(B275="","",F275*I275)</f>
        <v/>
      </c>
      <c r="L275">
        <f>IF(B275="","",J275-I275)</f>
        <v/>
      </c>
    </row>
    <row r="276">
      <c r="A276" s="6" t="n"/>
      <c r="B276" s="6" t="n"/>
      <c r="C276" s="6" t="n"/>
      <c r="D276" s="6" t="n"/>
      <c r="E276" s="6" t="n"/>
      <c r="F276">
        <f>IF(B276="","",C276+D276-E276)</f>
        <v/>
      </c>
      <c r="G276" s="6" t="n"/>
      <c r="H276">
        <f>IF(B276="","",IF(F276&lt;=0,"OUT OF STOCK",IF(F276&lt;=G276,"REORDER NOW","OK")))</f>
        <v/>
      </c>
      <c r="I276" s="6" t="n"/>
      <c r="J276" s="6" t="n"/>
      <c r="K276">
        <f>IF(B276="","",F276*I276)</f>
        <v/>
      </c>
      <c r="L276">
        <f>IF(B276="","",J276-I276)</f>
        <v/>
      </c>
    </row>
    <row r="277">
      <c r="A277" s="6" t="n"/>
      <c r="B277" s="6" t="n"/>
      <c r="C277" s="6" t="n"/>
      <c r="D277" s="6" t="n"/>
      <c r="E277" s="6" t="n"/>
      <c r="F277">
        <f>IF(B277="","",C277+D277-E277)</f>
        <v/>
      </c>
      <c r="G277" s="6" t="n"/>
      <c r="H277">
        <f>IF(B277="","",IF(F277&lt;=0,"OUT OF STOCK",IF(F277&lt;=G277,"REORDER NOW","OK")))</f>
        <v/>
      </c>
      <c r="I277" s="6" t="n"/>
      <c r="J277" s="6" t="n"/>
      <c r="K277">
        <f>IF(B277="","",F277*I277)</f>
        <v/>
      </c>
      <c r="L277">
        <f>IF(B277="","",J277-I277)</f>
        <v/>
      </c>
    </row>
    <row r="278">
      <c r="A278" s="6" t="n"/>
      <c r="B278" s="6" t="n"/>
      <c r="C278" s="6" t="n"/>
      <c r="D278" s="6" t="n"/>
      <c r="E278" s="6" t="n"/>
      <c r="F278">
        <f>IF(B278="","",C278+D278-E278)</f>
        <v/>
      </c>
      <c r="G278" s="6" t="n"/>
      <c r="H278">
        <f>IF(B278="","",IF(F278&lt;=0,"OUT OF STOCK",IF(F278&lt;=G278,"REORDER NOW","OK")))</f>
        <v/>
      </c>
      <c r="I278" s="6" t="n"/>
      <c r="J278" s="6" t="n"/>
      <c r="K278">
        <f>IF(B278="","",F278*I278)</f>
        <v/>
      </c>
      <c r="L278">
        <f>IF(B278="","",J278-I278)</f>
        <v/>
      </c>
    </row>
    <row r="279">
      <c r="A279" s="6" t="n"/>
      <c r="B279" s="6" t="n"/>
      <c r="C279" s="6" t="n"/>
      <c r="D279" s="6" t="n"/>
      <c r="E279" s="6" t="n"/>
      <c r="F279">
        <f>IF(B279="","",C279+D279-E279)</f>
        <v/>
      </c>
      <c r="G279" s="6" t="n"/>
      <c r="H279">
        <f>IF(B279="","",IF(F279&lt;=0,"OUT OF STOCK",IF(F279&lt;=G279,"REORDER NOW","OK")))</f>
        <v/>
      </c>
      <c r="I279" s="6" t="n"/>
      <c r="J279" s="6" t="n"/>
      <c r="K279">
        <f>IF(B279="","",F279*I279)</f>
        <v/>
      </c>
      <c r="L279">
        <f>IF(B279="","",J279-I279)</f>
        <v/>
      </c>
    </row>
    <row r="280">
      <c r="A280" s="6" t="n"/>
      <c r="B280" s="6" t="n"/>
      <c r="C280" s="6" t="n"/>
      <c r="D280" s="6" t="n"/>
      <c r="E280" s="6" t="n"/>
      <c r="F280">
        <f>IF(B280="","",C280+D280-E280)</f>
        <v/>
      </c>
      <c r="G280" s="6" t="n"/>
      <c r="H280">
        <f>IF(B280="","",IF(F280&lt;=0,"OUT OF STOCK",IF(F280&lt;=G280,"REORDER NOW","OK")))</f>
        <v/>
      </c>
      <c r="I280" s="6" t="n"/>
      <c r="J280" s="6" t="n"/>
      <c r="K280">
        <f>IF(B280="","",F280*I280)</f>
        <v/>
      </c>
      <c r="L280">
        <f>IF(B280="","",J280-I280)</f>
        <v/>
      </c>
    </row>
    <row r="281">
      <c r="A281" s="6" t="n"/>
      <c r="B281" s="6" t="n"/>
      <c r="C281" s="6" t="n"/>
      <c r="D281" s="6" t="n"/>
      <c r="E281" s="6" t="n"/>
      <c r="F281">
        <f>IF(B281="","",C281+D281-E281)</f>
        <v/>
      </c>
      <c r="G281" s="6" t="n"/>
      <c r="H281">
        <f>IF(B281="","",IF(F281&lt;=0,"OUT OF STOCK",IF(F281&lt;=G281,"REORDER NOW","OK")))</f>
        <v/>
      </c>
      <c r="I281" s="6" t="n"/>
      <c r="J281" s="6" t="n"/>
      <c r="K281">
        <f>IF(B281="","",F281*I281)</f>
        <v/>
      </c>
      <c r="L281">
        <f>IF(B281="","",J281-I281)</f>
        <v/>
      </c>
    </row>
    <row r="282">
      <c r="A282" s="6" t="n"/>
      <c r="B282" s="6" t="n"/>
      <c r="C282" s="6" t="n"/>
      <c r="D282" s="6" t="n"/>
      <c r="E282" s="6" t="n"/>
      <c r="F282">
        <f>IF(B282="","",C282+D282-E282)</f>
        <v/>
      </c>
      <c r="G282" s="6" t="n"/>
      <c r="H282">
        <f>IF(B282="","",IF(F282&lt;=0,"OUT OF STOCK",IF(F282&lt;=G282,"REORDER NOW","OK")))</f>
        <v/>
      </c>
      <c r="I282" s="6" t="n"/>
      <c r="J282" s="6" t="n"/>
      <c r="K282">
        <f>IF(B282="","",F282*I282)</f>
        <v/>
      </c>
      <c r="L282">
        <f>IF(B282="","",J282-I282)</f>
        <v/>
      </c>
    </row>
    <row r="283">
      <c r="A283" s="6" t="n"/>
      <c r="B283" s="6" t="n"/>
      <c r="C283" s="6" t="n"/>
      <c r="D283" s="6" t="n"/>
      <c r="E283" s="6" t="n"/>
      <c r="F283">
        <f>IF(B283="","",C283+D283-E283)</f>
        <v/>
      </c>
      <c r="G283" s="6" t="n"/>
      <c r="H283">
        <f>IF(B283="","",IF(F283&lt;=0,"OUT OF STOCK",IF(F283&lt;=G283,"REORDER NOW","OK")))</f>
        <v/>
      </c>
      <c r="I283" s="6" t="n"/>
      <c r="J283" s="6" t="n"/>
      <c r="K283">
        <f>IF(B283="","",F283*I283)</f>
        <v/>
      </c>
      <c r="L283">
        <f>IF(B283="","",J283-I283)</f>
        <v/>
      </c>
    </row>
    <row r="284">
      <c r="A284" s="6" t="n"/>
      <c r="B284" s="6" t="n"/>
      <c r="C284" s="6" t="n"/>
      <c r="D284" s="6" t="n"/>
      <c r="E284" s="6" t="n"/>
      <c r="F284">
        <f>IF(B284="","",C284+D284-E284)</f>
        <v/>
      </c>
      <c r="G284" s="6" t="n"/>
      <c r="H284">
        <f>IF(B284="","",IF(F284&lt;=0,"OUT OF STOCK",IF(F284&lt;=G284,"REORDER NOW","OK")))</f>
        <v/>
      </c>
      <c r="I284" s="6" t="n"/>
      <c r="J284" s="6" t="n"/>
      <c r="K284">
        <f>IF(B284="","",F284*I284)</f>
        <v/>
      </c>
      <c r="L284">
        <f>IF(B284="","",J284-I284)</f>
        <v/>
      </c>
    </row>
    <row r="285">
      <c r="A285" s="6" t="n"/>
      <c r="B285" s="6" t="n"/>
      <c r="C285" s="6" t="n"/>
      <c r="D285" s="6" t="n"/>
      <c r="E285" s="6" t="n"/>
      <c r="F285">
        <f>IF(B285="","",C285+D285-E285)</f>
        <v/>
      </c>
      <c r="G285" s="6" t="n"/>
      <c r="H285">
        <f>IF(B285="","",IF(F285&lt;=0,"OUT OF STOCK",IF(F285&lt;=G285,"REORDER NOW","OK")))</f>
        <v/>
      </c>
      <c r="I285" s="6" t="n"/>
      <c r="J285" s="6" t="n"/>
      <c r="K285">
        <f>IF(B285="","",F285*I285)</f>
        <v/>
      </c>
      <c r="L285">
        <f>IF(B285="","",J285-I285)</f>
        <v/>
      </c>
    </row>
    <row r="286">
      <c r="A286" s="6" t="n"/>
      <c r="B286" s="6" t="n"/>
      <c r="C286" s="6" t="n"/>
      <c r="D286" s="6" t="n"/>
      <c r="E286" s="6" t="n"/>
      <c r="F286">
        <f>IF(B286="","",C286+D286-E286)</f>
        <v/>
      </c>
      <c r="G286" s="6" t="n"/>
      <c r="H286">
        <f>IF(B286="","",IF(F286&lt;=0,"OUT OF STOCK",IF(F286&lt;=G286,"REORDER NOW","OK")))</f>
        <v/>
      </c>
      <c r="I286" s="6" t="n"/>
      <c r="J286" s="6" t="n"/>
      <c r="K286">
        <f>IF(B286="","",F286*I286)</f>
        <v/>
      </c>
      <c r="L286">
        <f>IF(B286="","",J286-I286)</f>
        <v/>
      </c>
    </row>
    <row r="287">
      <c r="A287" s="6" t="n"/>
      <c r="B287" s="6" t="n"/>
      <c r="C287" s="6" t="n"/>
      <c r="D287" s="6" t="n"/>
      <c r="E287" s="6" t="n"/>
      <c r="F287">
        <f>IF(B287="","",C287+D287-E287)</f>
        <v/>
      </c>
      <c r="G287" s="6" t="n"/>
      <c r="H287">
        <f>IF(B287="","",IF(F287&lt;=0,"OUT OF STOCK",IF(F287&lt;=G287,"REORDER NOW","OK")))</f>
        <v/>
      </c>
      <c r="I287" s="6" t="n"/>
      <c r="J287" s="6" t="n"/>
      <c r="K287">
        <f>IF(B287="","",F287*I287)</f>
        <v/>
      </c>
      <c r="L287">
        <f>IF(B287="","",J287-I287)</f>
        <v/>
      </c>
    </row>
    <row r="288">
      <c r="A288" s="6" t="n"/>
      <c r="B288" s="6" t="n"/>
      <c r="C288" s="6" t="n"/>
      <c r="D288" s="6" t="n"/>
      <c r="E288" s="6" t="n"/>
      <c r="F288">
        <f>IF(B288="","",C288+D288-E288)</f>
        <v/>
      </c>
      <c r="G288" s="6" t="n"/>
      <c r="H288">
        <f>IF(B288="","",IF(F288&lt;=0,"OUT OF STOCK",IF(F288&lt;=G288,"REORDER NOW","OK")))</f>
        <v/>
      </c>
      <c r="I288" s="6" t="n"/>
      <c r="J288" s="6" t="n"/>
      <c r="K288">
        <f>IF(B288="","",F288*I288)</f>
        <v/>
      </c>
      <c r="L288">
        <f>IF(B288="","",J288-I288)</f>
        <v/>
      </c>
    </row>
    <row r="289">
      <c r="A289" s="6" t="n"/>
      <c r="B289" s="6" t="n"/>
      <c r="C289" s="6" t="n"/>
      <c r="D289" s="6" t="n"/>
      <c r="E289" s="6" t="n"/>
      <c r="F289">
        <f>IF(B289="","",C289+D289-E289)</f>
        <v/>
      </c>
      <c r="G289" s="6" t="n"/>
      <c r="H289">
        <f>IF(B289="","",IF(F289&lt;=0,"OUT OF STOCK",IF(F289&lt;=G289,"REORDER NOW","OK")))</f>
        <v/>
      </c>
      <c r="I289" s="6" t="n"/>
      <c r="J289" s="6" t="n"/>
      <c r="K289">
        <f>IF(B289="","",F289*I289)</f>
        <v/>
      </c>
      <c r="L289">
        <f>IF(B289="","",J289-I289)</f>
        <v/>
      </c>
    </row>
    <row r="290">
      <c r="A290" s="6" t="n"/>
      <c r="B290" s="6" t="n"/>
      <c r="C290" s="6" t="n"/>
      <c r="D290" s="6" t="n"/>
      <c r="E290" s="6" t="n"/>
      <c r="F290">
        <f>IF(B290="","",C290+D290-E290)</f>
        <v/>
      </c>
      <c r="G290" s="6" t="n"/>
      <c r="H290">
        <f>IF(B290="","",IF(F290&lt;=0,"OUT OF STOCK",IF(F290&lt;=G290,"REORDER NOW","OK")))</f>
        <v/>
      </c>
      <c r="I290" s="6" t="n"/>
      <c r="J290" s="6" t="n"/>
      <c r="K290">
        <f>IF(B290="","",F290*I290)</f>
        <v/>
      </c>
      <c r="L290">
        <f>IF(B290="","",J290-I290)</f>
        <v/>
      </c>
    </row>
    <row r="291">
      <c r="A291" s="6" t="n"/>
      <c r="B291" s="6" t="n"/>
      <c r="C291" s="6" t="n"/>
      <c r="D291" s="6" t="n"/>
      <c r="E291" s="6" t="n"/>
      <c r="F291">
        <f>IF(B291="","",C291+D291-E291)</f>
        <v/>
      </c>
      <c r="G291" s="6" t="n"/>
      <c r="H291">
        <f>IF(B291="","",IF(F291&lt;=0,"OUT OF STOCK",IF(F291&lt;=G291,"REORDER NOW","OK")))</f>
        <v/>
      </c>
      <c r="I291" s="6" t="n"/>
      <c r="J291" s="6" t="n"/>
      <c r="K291">
        <f>IF(B291="","",F291*I291)</f>
        <v/>
      </c>
      <c r="L291">
        <f>IF(B291="","",J291-I291)</f>
        <v/>
      </c>
    </row>
    <row r="292">
      <c r="A292" s="6" t="n"/>
      <c r="B292" s="6" t="n"/>
      <c r="C292" s="6" t="n"/>
      <c r="D292" s="6" t="n"/>
      <c r="E292" s="6" t="n"/>
      <c r="F292">
        <f>IF(B292="","",C292+D292-E292)</f>
        <v/>
      </c>
      <c r="G292" s="6" t="n"/>
      <c r="H292">
        <f>IF(B292="","",IF(F292&lt;=0,"OUT OF STOCK",IF(F292&lt;=G292,"REORDER NOW","OK")))</f>
        <v/>
      </c>
      <c r="I292" s="6" t="n"/>
      <c r="J292" s="6" t="n"/>
      <c r="K292">
        <f>IF(B292="","",F292*I292)</f>
        <v/>
      </c>
      <c r="L292">
        <f>IF(B292="","",J292-I292)</f>
        <v/>
      </c>
    </row>
    <row r="293">
      <c r="A293" s="6" t="n"/>
      <c r="B293" s="6" t="n"/>
      <c r="C293" s="6" t="n"/>
      <c r="D293" s="6" t="n"/>
      <c r="E293" s="6" t="n"/>
      <c r="F293">
        <f>IF(B293="","",C293+D293-E293)</f>
        <v/>
      </c>
      <c r="G293" s="6" t="n"/>
      <c r="H293">
        <f>IF(B293="","",IF(F293&lt;=0,"OUT OF STOCK",IF(F293&lt;=G293,"REORDER NOW","OK")))</f>
        <v/>
      </c>
      <c r="I293" s="6" t="n"/>
      <c r="J293" s="6" t="n"/>
      <c r="K293">
        <f>IF(B293="","",F293*I293)</f>
        <v/>
      </c>
      <c r="L293">
        <f>IF(B293="","",J293-I293)</f>
        <v/>
      </c>
    </row>
    <row r="294">
      <c r="A294" s="6" t="n"/>
      <c r="B294" s="6" t="n"/>
      <c r="C294" s="6" t="n"/>
      <c r="D294" s="6" t="n"/>
      <c r="E294" s="6" t="n"/>
      <c r="F294">
        <f>IF(B294="","",C294+D294-E294)</f>
        <v/>
      </c>
      <c r="G294" s="6" t="n"/>
      <c r="H294">
        <f>IF(B294="","",IF(F294&lt;=0,"OUT OF STOCK",IF(F294&lt;=G294,"REORDER NOW","OK")))</f>
        <v/>
      </c>
      <c r="I294" s="6" t="n"/>
      <c r="J294" s="6" t="n"/>
      <c r="K294">
        <f>IF(B294="","",F294*I294)</f>
        <v/>
      </c>
      <c r="L294">
        <f>IF(B294="","",J294-I294)</f>
        <v/>
      </c>
    </row>
    <row r="295">
      <c r="A295" s="6" t="n"/>
      <c r="B295" s="6" t="n"/>
      <c r="C295" s="6" t="n"/>
      <c r="D295" s="6" t="n"/>
      <c r="E295" s="6" t="n"/>
      <c r="F295">
        <f>IF(B295="","",C295+D295-E295)</f>
        <v/>
      </c>
      <c r="G295" s="6" t="n"/>
      <c r="H295">
        <f>IF(B295="","",IF(F295&lt;=0,"OUT OF STOCK",IF(F295&lt;=G295,"REORDER NOW","OK")))</f>
        <v/>
      </c>
      <c r="I295" s="6" t="n"/>
      <c r="J295" s="6" t="n"/>
      <c r="K295">
        <f>IF(B295="","",F295*I295)</f>
        <v/>
      </c>
      <c r="L295">
        <f>IF(B295="","",J295-I295)</f>
        <v/>
      </c>
    </row>
    <row r="296">
      <c r="A296" s="6" t="n"/>
      <c r="B296" s="6" t="n"/>
      <c r="C296" s="6" t="n"/>
      <c r="D296" s="6" t="n"/>
      <c r="E296" s="6" t="n"/>
      <c r="F296">
        <f>IF(B296="","",C296+D296-E296)</f>
        <v/>
      </c>
      <c r="G296" s="6" t="n"/>
      <c r="H296">
        <f>IF(B296="","",IF(F296&lt;=0,"OUT OF STOCK",IF(F296&lt;=G296,"REORDER NOW","OK")))</f>
        <v/>
      </c>
      <c r="I296" s="6" t="n"/>
      <c r="J296" s="6" t="n"/>
      <c r="K296">
        <f>IF(B296="","",F296*I296)</f>
        <v/>
      </c>
      <c r="L296">
        <f>IF(B296="","",J296-I296)</f>
        <v/>
      </c>
    </row>
    <row r="297">
      <c r="A297" s="6" t="n"/>
      <c r="B297" s="6" t="n"/>
      <c r="C297" s="6" t="n"/>
      <c r="D297" s="6" t="n"/>
      <c r="E297" s="6" t="n"/>
      <c r="F297">
        <f>IF(B297="","",C297+D297-E297)</f>
        <v/>
      </c>
      <c r="G297" s="6" t="n"/>
      <c r="H297">
        <f>IF(B297="","",IF(F297&lt;=0,"OUT OF STOCK",IF(F297&lt;=G297,"REORDER NOW","OK")))</f>
        <v/>
      </c>
      <c r="I297" s="6" t="n"/>
      <c r="J297" s="6" t="n"/>
      <c r="K297">
        <f>IF(B297="","",F297*I297)</f>
        <v/>
      </c>
      <c r="L297">
        <f>IF(B297="","",J297-I297)</f>
        <v/>
      </c>
    </row>
    <row r="298">
      <c r="A298" s="6" t="n"/>
      <c r="B298" s="6" t="n"/>
      <c r="C298" s="6" t="n"/>
      <c r="D298" s="6" t="n"/>
      <c r="E298" s="6" t="n"/>
      <c r="F298">
        <f>IF(B298="","",C298+D298-E298)</f>
        <v/>
      </c>
      <c r="G298" s="6" t="n"/>
      <c r="H298">
        <f>IF(B298="","",IF(F298&lt;=0,"OUT OF STOCK",IF(F298&lt;=G298,"REORDER NOW","OK")))</f>
        <v/>
      </c>
      <c r="I298" s="6" t="n"/>
      <c r="J298" s="6" t="n"/>
      <c r="K298">
        <f>IF(B298="","",F298*I298)</f>
        <v/>
      </c>
      <c r="L298">
        <f>IF(B298="","",J298-I298)</f>
        <v/>
      </c>
    </row>
    <row r="299">
      <c r="A299" s="6" t="n"/>
      <c r="B299" s="6" t="n"/>
      <c r="C299" s="6" t="n"/>
      <c r="D299" s="6" t="n"/>
      <c r="E299" s="6" t="n"/>
      <c r="F299">
        <f>IF(B299="","",C299+D299-E299)</f>
        <v/>
      </c>
      <c r="G299" s="6" t="n"/>
      <c r="H299">
        <f>IF(B299="","",IF(F299&lt;=0,"OUT OF STOCK",IF(F299&lt;=G299,"REORDER NOW","OK")))</f>
        <v/>
      </c>
      <c r="I299" s="6" t="n"/>
      <c r="J299" s="6" t="n"/>
      <c r="K299">
        <f>IF(B299="","",F299*I299)</f>
        <v/>
      </c>
      <c r="L299">
        <f>IF(B299="","",J299-I299)</f>
        <v/>
      </c>
    </row>
    <row r="300">
      <c r="A300" s="6" t="n"/>
      <c r="B300" s="6" t="n"/>
      <c r="C300" s="6" t="n"/>
      <c r="D300" s="6" t="n"/>
      <c r="E300" s="6" t="n"/>
      <c r="F300">
        <f>IF(B300="","",C300+D300-E300)</f>
        <v/>
      </c>
      <c r="G300" s="6" t="n"/>
      <c r="H300">
        <f>IF(B300="","",IF(F300&lt;=0,"OUT OF STOCK",IF(F300&lt;=G300,"REORDER NOW","OK")))</f>
        <v/>
      </c>
      <c r="I300" s="6" t="n"/>
      <c r="J300" s="6" t="n"/>
      <c r="K300">
        <f>IF(B300="","",F300*I300)</f>
        <v/>
      </c>
      <c r="L300">
        <f>IF(B300="","",J300-I300)</f>
        <v/>
      </c>
    </row>
    <row r="301">
      <c r="A301" s="6" t="n"/>
      <c r="B301" s="6" t="n"/>
      <c r="C301" s="6" t="n"/>
      <c r="D301" s="6" t="n"/>
      <c r="E301" s="6" t="n"/>
      <c r="F301">
        <f>IF(B301="","",C301+D301-E301)</f>
        <v/>
      </c>
      <c r="G301" s="6" t="n"/>
      <c r="H301">
        <f>IF(B301="","",IF(F301&lt;=0,"OUT OF STOCK",IF(F301&lt;=G301,"REORDER NOW","OK")))</f>
        <v/>
      </c>
      <c r="I301" s="6" t="n"/>
      <c r="J301" s="6" t="n"/>
      <c r="K301">
        <f>IF(B301="","",F301*I301)</f>
        <v/>
      </c>
      <c r="L301">
        <f>IF(B301="","",J301-I301)</f>
        <v/>
      </c>
    </row>
  </sheetData>
  <conditionalFormatting sqref="H2:H301">
    <cfRule type="cellIs" priority="1" operator="equal" dxfId="0">
      <formula>"OK"</formula>
    </cfRule>
    <cfRule type="cellIs" priority="2" operator="equal" dxfId="1">
      <formula>"REORDER NOW"</formula>
    </cfRule>
    <cfRule type="cellIs" priority="3" operator="equal" dxfId="2">
      <formula>"OUT OF STOCK"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2026-10-13T17:37:21Z</dcterms:created>
  <dcterms:modified xmlns:dcterms="http://purl.org/dc/terms/" xmlns:xsi="http://www.w3.org/2001/XMLSchema-instance" xsi:type="dcterms:W3CDTF">2026-10-13T17:37:21Z</dcterms:modified>
</cp:coreProperties>
</file>